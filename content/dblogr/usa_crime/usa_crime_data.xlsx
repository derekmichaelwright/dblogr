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activeTab="1"/>
  </bookViews>
  <sheets>
    <sheet name="Murders" sheetId="3" r:id="rId1"/>
    <sheet name="Race0" sheetId="8" r:id="rId2"/>
    <sheet name="Race1" sheetId="1" r:id="rId3"/>
    <sheet name="Race2" sheetId="2" r:id="rId4"/>
    <sheet name="18tbl43a" sheetId="4" r:id="rId5"/>
    <sheet name="18tbl43c" sheetId="5" r:id="rId6"/>
    <sheet name="18tbl43b" sheetId="6" r:id="rId7"/>
    <sheet name="18tbl01" sheetId="7" r:id="rId8"/>
  </sheets>
  <definedNames>
    <definedName name="_xlnm.Print_Area" localSheetId="7">'18tbl01'!$A$1:$V$31</definedName>
    <definedName name="_xlnm.Print_Area" localSheetId="4">'18tbl43a'!$A$1:$S$42</definedName>
    <definedName name="_xlnm.Print_Area" localSheetId="6">'18tbl43b'!$A$1:$S$43</definedName>
    <definedName name="_xlnm.Print_Area" localSheetId="5">'18tbl43c'!$A$1:$S$42</definedName>
  </definedNames>
  <calcPr calcId="145621"/>
</workbook>
</file>

<file path=xl/calcChain.xml><?xml version="1.0" encoding="utf-8"?>
<calcChain xmlns="http://schemas.openxmlformats.org/spreadsheetml/2006/main">
  <c r="E6" i="2" l="1"/>
  <c r="E5" i="2"/>
  <c r="E4" i="2"/>
  <c r="E3" i="2"/>
  <c r="E2" i="2"/>
  <c r="D6" i="2"/>
  <c r="D5" i="2"/>
  <c r="D4" i="2"/>
  <c r="D3" i="2"/>
  <c r="D2" i="2"/>
</calcChain>
</file>

<file path=xl/sharedStrings.xml><?xml version="1.0" encoding="utf-8"?>
<sst xmlns="http://schemas.openxmlformats.org/spreadsheetml/2006/main" count="373" uniqueCount="139">
  <si>
    <t>Victim</t>
  </si>
  <si>
    <t>Offender</t>
  </si>
  <si>
    <t>White</t>
  </si>
  <si>
    <t>Percent</t>
  </si>
  <si>
    <t>Black</t>
  </si>
  <si>
    <t>Hispanic</t>
  </si>
  <si>
    <t>Asian</t>
  </si>
  <si>
    <t>Other</t>
  </si>
  <si>
    <t>Multiple</t>
  </si>
  <si>
    <t>Race</t>
  </si>
  <si>
    <t>Population</t>
  </si>
  <si>
    <t>VictimPercent</t>
  </si>
  <si>
    <t>PopulationPercent</t>
  </si>
  <si>
    <t>OffenderPercent</t>
  </si>
  <si>
    <t>Other weapons or weapons not stated</t>
  </si>
  <si>
    <t>Asphyxiation</t>
  </si>
  <si>
    <t>Strangulation</t>
  </si>
  <si>
    <t>Drowning</t>
  </si>
  <si>
    <t>Narcotics</t>
  </si>
  <si>
    <t>Fire</t>
  </si>
  <si>
    <t>Explosives</t>
  </si>
  <si>
    <t>Poison</t>
  </si>
  <si>
    <t>Personal weapons (hands, fists, feet, etc.)1</t>
  </si>
  <si>
    <t>Blunt objects (clubs, hammers, etc.)</t>
  </si>
  <si>
    <t>Knives or cutting instruments</t>
  </si>
  <si>
    <t>Firearms, type not stated</t>
  </si>
  <si>
    <t>Other guns</t>
  </si>
  <si>
    <t>Shotguns</t>
  </si>
  <si>
    <t>Rifles</t>
  </si>
  <si>
    <t>Handguns</t>
  </si>
  <si>
    <t>Total firearms:</t>
  </si>
  <si>
    <t>Total</t>
  </si>
  <si>
    <t>Weapons</t>
  </si>
  <si>
    <r>
      <t xml:space="preserve">4 </t>
    </r>
    <r>
      <rPr>
        <sz val="11"/>
        <rFont val="Times New Roman"/>
        <family val="1"/>
      </rPr>
      <t>Violent crimes are offenses of murder and nonnegligent manslaughter, rape, robbery, and aggravated assault. Property crimes are offenses of burglary, larceny-theft, motor vehicle theft, and arson.</t>
    </r>
  </si>
  <si>
    <r>
      <rPr>
        <vertAlign val="superscript"/>
        <sz val="11"/>
        <color indexed="8"/>
        <rFont val="Times New Roman"/>
        <family val="1"/>
      </rPr>
      <t>3</t>
    </r>
    <r>
      <rPr>
        <sz val="11"/>
        <color indexed="8"/>
        <rFont val="Times New Roman"/>
        <family val="1"/>
      </rPr>
      <t xml:space="preserve"> The rape figures in this table are aggregate totals of the data submitted based on both the legacy and revised Uniform Crime Reporting definitions.</t>
    </r>
  </si>
  <si>
    <r>
      <t xml:space="preserve">2 </t>
    </r>
    <r>
      <rPr>
        <sz val="11"/>
        <rFont val="Times New Roman"/>
        <family val="1"/>
      </rPr>
      <t>The ethnicity totals are representative of those agencies that provided ethnicity breakdowns. Not all agencies provide ethnicity data; therefore, the race and ethnicity totals will not equal.</t>
    </r>
  </si>
  <si>
    <t xml:space="preserve"> </t>
  </si>
  <si>
    <r>
      <t xml:space="preserve">1 </t>
    </r>
    <r>
      <rPr>
        <sz val="11"/>
        <rFont val="Times New Roman"/>
        <family val="1"/>
      </rPr>
      <t>Because of rounding, the percentages may not add to 100.0.</t>
    </r>
  </si>
  <si>
    <t>Curfew and loitering law violations</t>
  </si>
  <si>
    <t>Suspicion</t>
  </si>
  <si>
    <t>All other offenses (except traffic)</t>
  </si>
  <si>
    <t>Vagrancy</t>
  </si>
  <si>
    <t>Disorderly conduct</t>
  </si>
  <si>
    <t>Drunkenness</t>
  </si>
  <si>
    <t>Liquor laws</t>
  </si>
  <si>
    <t>Driving under the influence</t>
  </si>
  <si>
    <t>Offenses against the family and children</t>
  </si>
  <si>
    <t>Gambling</t>
  </si>
  <si>
    <t>Drug abuse violations</t>
  </si>
  <si>
    <t>Sex offenses (except rape and prostitution)</t>
  </si>
  <si>
    <t>Prostitution and commercialized vice</t>
  </si>
  <si>
    <t>Weapons; carrying, possessing, etc.</t>
  </si>
  <si>
    <t>Vandalism</t>
  </si>
  <si>
    <t>Stolen property; buying, receiving, possessing</t>
  </si>
  <si>
    <t>Embezzlement</t>
  </si>
  <si>
    <t>Fraud</t>
  </si>
  <si>
    <t>Forgery and counterfeiting</t>
  </si>
  <si>
    <t>Other assaults</t>
  </si>
  <si>
    <r>
      <t>Property crime</t>
    </r>
    <r>
      <rPr>
        <vertAlign val="superscript"/>
        <sz val="12"/>
        <rFont val="Times New Roman"/>
        <family val="1"/>
      </rPr>
      <t>4</t>
    </r>
  </si>
  <si>
    <r>
      <t>Violent crime</t>
    </r>
    <r>
      <rPr>
        <vertAlign val="superscript"/>
        <sz val="12"/>
        <rFont val="Times New Roman"/>
        <family val="1"/>
      </rPr>
      <t>4</t>
    </r>
  </si>
  <si>
    <t>Arson</t>
  </si>
  <si>
    <t>Motor vehicle theft</t>
  </si>
  <si>
    <t>Larceny-theft</t>
  </si>
  <si>
    <t>Burglary</t>
  </si>
  <si>
    <t>Aggravated assault</t>
  </si>
  <si>
    <t>Robbery</t>
  </si>
  <si>
    <r>
      <t>Rape</t>
    </r>
    <r>
      <rPr>
        <vertAlign val="superscript"/>
        <sz val="12"/>
        <rFont val="Times New Roman"/>
        <family val="1"/>
      </rPr>
      <t>3</t>
    </r>
  </si>
  <si>
    <t>Murder and nonnegligent manslaughter</t>
  </si>
  <si>
    <t>TOTAL</t>
  </si>
  <si>
    <t>Not
Hispanic
or Latino</t>
  </si>
  <si>
    <t>Hispanic
or
Latino</t>
  </si>
  <si>
    <r>
      <t>Total</t>
    </r>
    <r>
      <rPr>
        <vertAlign val="superscript"/>
        <sz val="12"/>
        <rFont val="Times New Roman"/>
        <family val="1"/>
      </rPr>
      <t>2</t>
    </r>
  </si>
  <si>
    <t>Native
Hawaiian
or Other
Pacific
Islander</t>
  </si>
  <si>
    <t>American
Indian or
Alaska
Native</t>
  </si>
  <si>
    <t>Black or
African
American</t>
  </si>
  <si>
    <t>Offense charged</t>
  </si>
  <si>
    <t>Ethnicity</t>
  </si>
  <si>
    <r>
      <t>Percent distribution</t>
    </r>
    <r>
      <rPr>
        <vertAlign val="superscript"/>
        <sz val="12"/>
        <rFont val="Times New Roman"/>
        <family val="1"/>
      </rPr>
      <t>1</t>
    </r>
  </si>
  <si>
    <t>Total arrests</t>
  </si>
  <si>
    <t>[12,212 agencies; 2018 estimated population 247,752,415]</t>
  </si>
  <si>
    <t>by Race and Ethnicity, 2018</t>
  </si>
  <si>
    <t>Arrests</t>
  </si>
  <si>
    <t>Table 43A</t>
  </si>
  <si>
    <t>-</t>
  </si>
  <si>
    <t>Arrests 18 and over</t>
  </si>
  <si>
    <t>by Race and Ethnicity, 2018-Continued</t>
  </si>
  <si>
    <t xml:space="preserve">Table 43C </t>
  </si>
  <si>
    <t>* Less than one-tenth of 1 percent.</t>
  </si>
  <si>
    <t>*</t>
  </si>
  <si>
    <t>Arrests under 18</t>
  </si>
  <si>
    <t xml:space="preserve">Table 43B </t>
  </si>
  <si>
    <t>NOTE:  Although arson data are included in the trend and clearance tables, sufficient data are not available to estimate totals for this offense. Therefore, no arson data are published in this table.</t>
  </si>
  <si>
    <r>
      <t xml:space="preserve">6 </t>
    </r>
    <r>
      <rPr>
        <sz val="9"/>
        <rFont val="Times New Roman"/>
        <family val="1"/>
      </rPr>
      <t>The crime figures have been adjusted.</t>
    </r>
  </si>
  <si>
    <r>
      <t>5</t>
    </r>
    <r>
      <rPr>
        <sz val="9"/>
        <rFont val="Times New Roman"/>
        <family val="1"/>
      </rPr>
      <t xml:space="preserve"> The murder and nonnegligent homicides that occurred as a result of the events of September 11, 2001, are not included in this table.</t>
    </r>
  </si>
  <si>
    <r>
      <rPr>
        <vertAlign val="superscript"/>
        <sz val="9"/>
        <rFont val="Times New Roman"/>
        <family val="1"/>
      </rPr>
      <t xml:space="preserve">4 </t>
    </r>
    <r>
      <rPr>
        <sz val="9"/>
        <rFont val="Times New Roman"/>
        <family val="1"/>
      </rPr>
      <t>The figures shown in this column for the offense of rape were estimated using the legacy UCR definition of rape. See data declaration for further explanation.</t>
    </r>
  </si>
  <si>
    <r>
      <rPr>
        <vertAlign val="superscript"/>
        <sz val="9"/>
        <rFont val="Times New Roman"/>
        <family val="1"/>
      </rPr>
      <t xml:space="preserve">3 </t>
    </r>
    <r>
      <rPr>
        <sz val="9"/>
        <rFont val="Times New Roman"/>
        <family val="1"/>
      </rPr>
      <t>The figures shown in this column for the offense of rape were estimated using the revised Uniform Crime Reporting (UCR) definition of rape. See data declaration for further explanation.</t>
    </r>
  </si>
  <si>
    <r>
      <t>2</t>
    </r>
    <r>
      <rPr>
        <sz val="9"/>
        <rFont val="Times New Roman"/>
        <family val="1"/>
      </rPr>
      <t xml:space="preserve"> The violent crime figures include the offenses of murder, rape (legacy definition), robbery, and aggravated assault.</t>
    </r>
  </si>
  <si>
    <r>
      <t>1</t>
    </r>
    <r>
      <rPr>
        <sz val="9"/>
        <rFont val="Times New Roman"/>
        <family val="1"/>
      </rPr>
      <t xml:space="preserve"> Populations are U.S. Census Bureau provisional estimates as of July 1 for each year except 2000 and 2010, which are decennial census counts.</t>
    </r>
  </si>
  <si>
    <t>2018</t>
  </si>
  <si>
    <r>
      <t>2017</t>
    </r>
    <r>
      <rPr>
        <vertAlign val="superscript"/>
        <sz val="9"/>
        <rFont val="Times New Roman"/>
        <family val="1"/>
      </rPr>
      <t>6</t>
    </r>
  </si>
  <si>
    <t>2016</t>
  </si>
  <si>
    <t>2015</t>
  </si>
  <si>
    <t>2014</t>
  </si>
  <si>
    <t>2013</t>
  </si>
  <si>
    <t>2012</t>
  </si>
  <si>
    <t>2011</t>
  </si>
  <si>
    <t>2010</t>
  </si>
  <si>
    <t>2009</t>
  </si>
  <si>
    <t>2008</t>
  </si>
  <si>
    <t>2007</t>
  </si>
  <si>
    <t>2006</t>
  </si>
  <si>
    <t>2005</t>
  </si>
  <si>
    <t>2004</t>
  </si>
  <si>
    <t>2003</t>
  </si>
  <si>
    <r>
      <t>2001</t>
    </r>
    <r>
      <rPr>
        <vertAlign val="superscript"/>
        <sz val="9"/>
        <rFont val="Times New Roman"/>
        <family val="1"/>
      </rPr>
      <t>5</t>
    </r>
  </si>
  <si>
    <t xml:space="preserve">Motor 
vehicle 
theft 
rate </t>
  </si>
  <si>
    <t>Motor 
vehicle 
theft</t>
  </si>
  <si>
    <t xml:space="preserve">Larceny-
theft rate </t>
  </si>
  <si>
    <t>Larceny-
theft</t>
  </si>
  <si>
    <t xml:space="preserve">Burglary 
rate </t>
  </si>
  <si>
    <t xml:space="preserve">Property 
crime 
rate </t>
  </si>
  <si>
    <t>Property 
crime</t>
  </si>
  <si>
    <t xml:space="preserve">Aggravated 
assault rate </t>
  </si>
  <si>
    <t>Aggravated 
assault</t>
  </si>
  <si>
    <t xml:space="preserve">Robbery 
rate </t>
  </si>
  <si>
    <r>
      <t>Rape
(legacy 
definition) 
rate</t>
    </r>
    <r>
      <rPr>
        <i/>
        <vertAlign val="superscript"/>
        <sz val="9"/>
        <rFont val="Times New Roman"/>
        <family val="1"/>
      </rPr>
      <t>4</t>
    </r>
  </si>
  <si>
    <r>
      <t>Rape
(legacy 
definition)</t>
    </r>
    <r>
      <rPr>
        <vertAlign val="superscript"/>
        <sz val="9"/>
        <rFont val="Times New Roman"/>
        <family val="1"/>
      </rPr>
      <t>4</t>
    </r>
  </si>
  <si>
    <r>
      <t>Rape
(revised 
definition) 
rate</t>
    </r>
    <r>
      <rPr>
        <i/>
        <vertAlign val="superscript"/>
        <sz val="9"/>
        <rFont val="Times New Roman"/>
        <family val="1"/>
      </rPr>
      <t>3</t>
    </r>
  </si>
  <si>
    <r>
      <t>Rape
(revised 
definition)</t>
    </r>
    <r>
      <rPr>
        <vertAlign val="superscript"/>
        <sz val="9"/>
        <rFont val="Times New Roman"/>
        <family val="1"/>
      </rPr>
      <t>3</t>
    </r>
  </si>
  <si>
    <t xml:space="preserve">Murder and 
nonnegligent 
manslaughter 
rate </t>
  </si>
  <si>
    <t>Murder and
nonnegligent 
manslaughter</t>
  </si>
  <si>
    <t xml:space="preserve">Violent 
crime 
rate </t>
  </si>
  <si>
    <r>
      <t>Violent</t>
    </r>
    <r>
      <rPr>
        <b/>
        <sz val="9"/>
        <rFont val="Times New Roman"/>
        <family val="1"/>
      </rPr>
      <t xml:space="preserve">
crime</t>
    </r>
    <r>
      <rPr>
        <b/>
        <vertAlign val="superscript"/>
        <sz val="9"/>
        <rFont val="Times New Roman"/>
        <family val="1"/>
      </rPr>
      <t>2</t>
    </r>
  </si>
  <si>
    <r>
      <t>Population</t>
    </r>
    <r>
      <rPr>
        <vertAlign val="superscript"/>
        <sz val="9"/>
        <rFont val="Times New Roman"/>
        <family val="1"/>
      </rPr>
      <t>1</t>
    </r>
  </si>
  <si>
    <t>Year</t>
  </si>
  <si>
    <t xml:space="preserve">by Volume and Rate per 100,000 Inhabitants, 1999–2018  </t>
  </si>
  <si>
    <t>Crime in the United States</t>
  </si>
  <si>
    <t>Table 1</t>
  </si>
  <si>
    <t>ViolentIncidents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</si>
</sst>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 "/>
    <numFmt numFmtId="166" formatCode="_(* #,##0.00_);_(* \(#,##0.00\);_(* &quot;-&quot;??_);_(@_)"/>
    <numFmt numFmtId="167" formatCode="#,##0.0"/>
    <numFmt numFmtId="168" formatCode="_(* #,##0_);_(* \(#,##0\);_(* &quot;-&quot;??_);_(@_)"/>
  </numFmts>
  <fonts count="35"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2"/>
      <name val="Times New Roman"/>
      <family val="1"/>
    </font>
    <font>
      <sz val="11"/>
      <name val="Times New Roman"/>
      <family val="1"/>
    </font>
    <font>
      <vertAlign val="superscript"/>
      <sz val="11"/>
      <name val="Times New Roman"/>
      <family val="1"/>
    </font>
    <font>
      <sz val="11"/>
      <color indexed="8"/>
      <name val="Times New Roman"/>
      <family val="1"/>
    </font>
    <font>
      <vertAlign val="superscript"/>
      <sz val="11"/>
      <color indexed="8"/>
      <name val="Times New Roman"/>
      <family val="1"/>
    </font>
    <font>
      <sz val="12"/>
      <color theme="1"/>
      <name val="Times New Roman"/>
      <family val="1"/>
    </font>
    <font>
      <vertAlign val="superscript"/>
      <sz val="12"/>
      <name val="Times New Roman"/>
      <family val="1"/>
    </font>
    <font>
      <b/>
      <sz val="12"/>
      <name val="Times New Roman"/>
      <family val="1"/>
    </font>
    <font>
      <sz val="14"/>
      <name val="Times New Roman"/>
      <family val="1"/>
    </font>
    <font>
      <b/>
      <sz val="14"/>
      <name val="Times New Roman"/>
      <family val="1"/>
    </font>
    <font>
      <sz val="9"/>
      <name val="Times New Roman"/>
      <family val="1"/>
    </font>
    <font>
      <vertAlign val="superscript"/>
      <sz val="9"/>
      <name val="Times New Roman"/>
      <family val="1"/>
    </font>
    <font>
      <sz val="9"/>
      <name val="Arial"/>
      <family val="2"/>
    </font>
    <font>
      <i/>
      <sz val="9"/>
      <name val="Times New Roman"/>
      <family val="1"/>
    </font>
    <font>
      <b/>
      <sz val="9"/>
      <name val="Times New Roman"/>
      <family val="1"/>
    </font>
    <font>
      <i/>
      <vertAlign val="superscript"/>
      <sz val="9"/>
      <name val="Times New Roman"/>
      <family val="1"/>
    </font>
    <font>
      <b/>
      <vertAlign val="superscript"/>
      <sz val="9"/>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000000"/>
      </bottom>
      <diagonal/>
    </border>
  </borders>
  <cellStyleXfs count="44">
    <xf numFmtId="0" fontId="0" fillId="0" borderId="0"/>
    <xf numFmtId="0" fontId="17" fillId="0" borderId="0"/>
    <xf numFmtId="166" fontId="17" fillId="0" borderId="0" applyFont="0" applyFill="0" applyBorder="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9"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6" fillId="3" borderId="0" applyNumberFormat="0" applyBorder="0" applyAlignment="0" applyProtection="0"/>
    <xf numFmtId="0" fontId="10" fillId="6" borderId="4" applyNumberFormat="0" applyAlignment="0" applyProtection="0"/>
    <xf numFmtId="0" fontId="12" fillId="7" borderId="7" applyNumberFormat="0" applyAlignment="0" applyProtection="0"/>
    <xf numFmtId="0" fontId="14" fillId="0" borderId="0" applyNumberFormat="0" applyFill="0" applyBorder="0" applyAlignment="0" applyProtection="0"/>
    <xf numFmtId="0" fontId="5" fillId="2"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8" fillId="5" borderId="4" applyNumberFormat="0" applyAlignment="0" applyProtection="0"/>
    <xf numFmtId="0" fontId="11" fillId="0" borderId="6" applyNumberFormat="0" applyFill="0" applyAlignment="0" applyProtection="0"/>
    <xf numFmtId="0" fontId="7" fillId="4" borderId="0" applyNumberFormat="0" applyBorder="0" applyAlignment="0" applyProtection="0"/>
    <xf numFmtId="0" fontId="1" fillId="8" borderId="8" applyNumberFormat="0" applyFont="0" applyAlignment="0" applyProtection="0"/>
    <xf numFmtId="0" fontId="9" fillId="6" borderId="5" applyNumberFormat="0" applyAlignment="0" applyProtection="0"/>
    <xf numFmtId="0" fontId="15" fillId="0" borderId="9" applyNumberFormat="0" applyFill="0" applyAlignment="0" applyProtection="0"/>
    <xf numFmtId="0" fontId="13" fillId="0" borderId="0" applyNumberFormat="0" applyFill="0" applyBorder="0" applyAlignment="0" applyProtection="0"/>
  </cellStyleXfs>
  <cellXfs count="114">
    <xf numFmtId="0" fontId="0" fillId="0" borderId="0" xfId="0"/>
    <xf numFmtId="164" fontId="0" fillId="0" borderId="0" xfId="0" applyNumberFormat="1"/>
    <xf numFmtId="3" fontId="0" fillId="0" borderId="0" xfId="0" applyNumberFormat="1"/>
    <xf numFmtId="0" fontId="18" fillId="0" borderId="0" xfId="1" applyFont="1" applyFill="1"/>
    <xf numFmtId="165" fontId="18" fillId="0" borderId="0" xfId="1" applyNumberFormat="1" applyFont="1" applyFill="1"/>
    <xf numFmtId="3" fontId="18" fillId="0" borderId="0" xfId="1" applyNumberFormat="1" applyFont="1" applyFill="1"/>
    <xf numFmtId="3" fontId="18" fillId="0" borderId="0" xfId="2" applyNumberFormat="1" applyFont="1" applyFill="1" applyBorder="1"/>
    <xf numFmtId="0" fontId="19" fillId="0" borderId="0" xfId="1" applyFont="1" applyFill="1"/>
    <xf numFmtId="0" fontId="17" fillId="0" borderId="0" xfId="1" applyAlignment="1"/>
    <xf numFmtId="0" fontId="20" fillId="0" borderId="0" xfId="1" applyFont="1" applyBorder="1" applyAlignment="1"/>
    <xf numFmtId="0" fontId="21" fillId="0" borderId="0" xfId="3" applyFont="1"/>
    <xf numFmtId="0" fontId="19" fillId="0" borderId="0" xfId="1" applyFont="1" applyFill="1" applyBorder="1"/>
    <xf numFmtId="166" fontId="19" fillId="0" borderId="0" xfId="2" applyFont="1" applyFill="1" applyBorder="1"/>
    <xf numFmtId="0" fontId="20" fillId="0" borderId="0" xfId="1" applyFont="1" applyFill="1" applyBorder="1"/>
    <xf numFmtId="0" fontId="19" fillId="0" borderId="10" xfId="1" applyFont="1" applyFill="1" applyBorder="1"/>
    <xf numFmtId="166" fontId="19" fillId="0" borderId="10" xfId="2" applyFont="1" applyFill="1" applyBorder="1"/>
    <xf numFmtId="0" fontId="20" fillId="0" borderId="10" xfId="1" applyFont="1" applyFill="1" applyBorder="1"/>
    <xf numFmtId="164" fontId="18" fillId="0" borderId="11" xfId="2" applyNumberFormat="1" applyFont="1" applyFill="1" applyBorder="1" applyAlignment="1">
      <alignment horizontal="right"/>
    </xf>
    <xf numFmtId="3" fontId="18" fillId="0" borderId="11" xfId="2" applyNumberFormat="1" applyFont="1" applyFill="1" applyBorder="1" applyAlignment="1">
      <alignment horizontal="right" wrapText="1"/>
    </xf>
    <xf numFmtId="164" fontId="18" fillId="0" borderId="0" xfId="2" applyNumberFormat="1" applyFont="1" applyFill="1" applyBorder="1" applyAlignment="1">
      <alignment horizontal="right"/>
    </xf>
    <xf numFmtId="3" fontId="23" fillId="0" borderId="0" xfId="3" applyNumberFormat="1" applyFont="1"/>
    <xf numFmtId="3" fontId="18" fillId="0" borderId="0" xfId="2" applyNumberFormat="1" applyFont="1" applyFill="1"/>
    <xf numFmtId="3" fontId="18" fillId="0" borderId="0" xfId="2" applyNumberFormat="1" applyFont="1" applyFill="1" applyBorder="1" applyAlignment="1">
      <alignment horizontal="right" wrapText="1"/>
    </xf>
    <xf numFmtId="0" fontId="18" fillId="0" borderId="0" xfId="1" applyFont="1" applyFill="1" applyAlignment="1">
      <alignment horizontal="left" indent="2"/>
    </xf>
    <xf numFmtId="0" fontId="18" fillId="0" borderId="0" xfId="1" applyFont="1" applyBorder="1"/>
    <xf numFmtId="0" fontId="25" fillId="0" borderId="0" xfId="1" applyFont="1" applyFill="1"/>
    <xf numFmtId="164" fontId="25" fillId="0" borderId="0" xfId="2" applyNumberFormat="1" applyFont="1" applyFill="1" applyBorder="1" applyAlignment="1">
      <alignment horizontal="right"/>
    </xf>
    <xf numFmtId="3" fontId="25" fillId="0" borderId="0" xfId="2" applyNumberFormat="1" applyFont="1" applyFill="1" applyBorder="1"/>
    <xf numFmtId="0" fontId="18" fillId="0" borderId="0" xfId="1" applyNumberFormat="1" applyFont="1" applyFill="1" applyAlignment="1">
      <alignment wrapText="1"/>
    </xf>
    <xf numFmtId="0" fontId="18" fillId="0" borderId="12" xfId="1" applyNumberFormat="1" applyFont="1" applyFill="1" applyBorder="1" applyAlignment="1">
      <alignment horizontal="center" wrapText="1"/>
    </xf>
    <xf numFmtId="0" fontId="18" fillId="0" borderId="12" xfId="1" applyNumberFormat="1" applyFont="1" applyFill="1" applyBorder="1" applyAlignment="1">
      <alignment horizontal="center"/>
    </xf>
    <xf numFmtId="0" fontId="18" fillId="0" borderId="11" xfId="1" applyNumberFormat="1" applyFont="1" applyFill="1" applyBorder="1" applyAlignment="1">
      <alignment horizontal="center" wrapText="1"/>
    </xf>
    <xf numFmtId="0" fontId="18" fillId="0" borderId="11" xfId="1" applyNumberFormat="1" applyFont="1" applyFill="1" applyBorder="1" applyAlignment="1">
      <alignment horizontal="right" wrapText="1" indent="1"/>
    </xf>
    <xf numFmtId="0" fontId="18" fillId="0" borderId="12" xfId="1" applyNumberFormat="1" applyFont="1" applyFill="1" applyBorder="1" applyAlignment="1">
      <alignment horizontal="left"/>
    </xf>
    <xf numFmtId="0" fontId="18" fillId="0" borderId="0" xfId="1" applyNumberFormat="1" applyFont="1" applyFill="1"/>
    <xf numFmtId="0" fontId="18" fillId="0" borderId="0" xfId="1" applyNumberFormat="1" applyFont="1" applyFill="1" applyBorder="1"/>
    <xf numFmtId="0" fontId="26" fillId="0" borderId="0" xfId="1" applyNumberFormat="1" applyFont="1" applyFill="1"/>
    <xf numFmtId="164" fontId="25" fillId="0" borderId="0" xfId="2" applyNumberFormat="1" applyFont="1" applyFill="1" applyBorder="1" applyAlignment="1">
      <alignment horizontal="right" wrapText="1"/>
    </xf>
    <xf numFmtId="3" fontId="25" fillId="0" borderId="0" xfId="2" applyNumberFormat="1" applyFont="1" applyFill="1" applyBorder="1" applyAlignment="1">
      <alignment horizontal="right" wrapText="1"/>
    </xf>
    <xf numFmtId="0" fontId="27" fillId="0" borderId="0" xfId="1" applyNumberFormat="1" applyFont="1" applyFill="1" applyBorder="1"/>
    <xf numFmtId="0" fontId="18" fillId="0" borderId="11" xfId="1" applyNumberFormat="1" applyFont="1" applyFill="1" applyBorder="1"/>
    <xf numFmtId="0" fontId="27" fillId="0" borderId="11" xfId="1" applyNumberFormat="1" applyFont="1" applyFill="1" applyBorder="1"/>
    <xf numFmtId="0" fontId="17" fillId="0" borderId="0" xfId="1" applyFill="1" applyAlignment="1">
      <alignment wrapText="1"/>
    </xf>
    <xf numFmtId="0" fontId="18" fillId="0" borderId="11" xfId="2" applyNumberFormat="1" applyFont="1" applyFill="1" applyBorder="1" applyAlignment="1">
      <alignment horizontal="right"/>
    </xf>
    <xf numFmtId="3" fontId="18" fillId="0" borderId="11" xfId="2" applyNumberFormat="1" applyFont="1" applyFill="1" applyBorder="1" applyAlignment="1">
      <alignment horizontal="right"/>
    </xf>
    <xf numFmtId="0" fontId="18" fillId="0" borderId="11" xfId="1" applyFont="1" applyFill="1" applyBorder="1"/>
    <xf numFmtId="3" fontId="23" fillId="0" borderId="0" xfId="3" applyNumberFormat="1" applyFont="1" applyAlignment="1"/>
    <xf numFmtId="0" fontId="18" fillId="0" borderId="11" xfId="1" applyFont="1" applyBorder="1" applyAlignment="1">
      <alignment horizontal="left"/>
    </xf>
    <xf numFmtId="0" fontId="27" fillId="0" borderId="0" xfId="1" applyNumberFormat="1" applyFont="1" applyFill="1"/>
    <xf numFmtId="165" fontId="19" fillId="0" borderId="0" xfId="1" applyNumberFormat="1" applyFont="1" applyFill="1"/>
    <xf numFmtId="0" fontId="28" fillId="0" borderId="0" xfId="1" applyFont="1"/>
    <xf numFmtId="167" fontId="28" fillId="0" borderId="0" xfId="1" applyNumberFormat="1" applyFont="1"/>
    <xf numFmtId="3" fontId="28" fillId="0" borderId="0" xfId="1" applyNumberFormat="1" applyFont="1"/>
    <xf numFmtId="167" fontId="28" fillId="0" borderId="0" xfId="1" applyNumberFormat="1" applyFont="1" applyFill="1"/>
    <xf numFmtId="3" fontId="28" fillId="0" borderId="0" xfId="1" applyNumberFormat="1" applyFont="1" applyFill="1"/>
    <xf numFmtId="1" fontId="28" fillId="0" borderId="0" xfId="1" applyNumberFormat="1" applyFont="1" applyFill="1" applyBorder="1"/>
    <xf numFmtId="168" fontId="28" fillId="0" borderId="0" xfId="1" applyNumberFormat="1" applyFont="1" applyFill="1" applyBorder="1" applyAlignment="1">
      <alignment horizontal="right" wrapText="1"/>
    </xf>
    <xf numFmtId="0" fontId="28" fillId="0" borderId="0" xfId="1" applyFont="1" applyAlignment="1"/>
    <xf numFmtId="0" fontId="28" fillId="0" borderId="0" xfId="1" applyFont="1" applyAlignment="1">
      <alignment wrapText="1"/>
    </xf>
    <xf numFmtId="0" fontId="28" fillId="0" borderId="0" xfId="1" applyFont="1" applyFill="1" applyAlignment="1">
      <alignment wrapText="1"/>
    </xf>
    <xf numFmtId="167" fontId="28" fillId="0" borderId="0" xfId="1" applyNumberFormat="1" applyFont="1" applyAlignment="1"/>
    <xf numFmtId="3" fontId="28" fillId="0" borderId="0" xfId="1" applyNumberFormat="1" applyFont="1" applyAlignment="1"/>
    <xf numFmtId="0" fontId="29" fillId="0" borderId="0" xfId="1" applyFont="1" applyAlignment="1">
      <alignment wrapText="1"/>
    </xf>
    <xf numFmtId="0" fontId="29" fillId="0" borderId="0" xfId="1" applyFont="1" applyFill="1" applyAlignment="1">
      <alignment wrapText="1"/>
    </xf>
    <xf numFmtId="0" fontId="29" fillId="0" borderId="0" xfId="1" applyFont="1" applyAlignment="1"/>
    <xf numFmtId="0" fontId="17" fillId="0" borderId="0" xfId="1" applyFill="1" applyAlignment="1"/>
    <xf numFmtId="0" fontId="28" fillId="0" borderId="0" xfId="1" applyFont="1" applyBorder="1" applyAlignment="1"/>
    <xf numFmtId="0" fontId="30" fillId="0" borderId="0" xfId="1" applyFont="1" applyAlignment="1"/>
    <xf numFmtId="0" fontId="30" fillId="0" borderId="0" xfId="1" applyFont="1" applyFill="1" applyAlignment="1"/>
    <xf numFmtId="0" fontId="28" fillId="0" borderId="0" xfId="1" applyFont="1" applyFill="1" applyBorder="1" applyAlignment="1" applyProtection="1"/>
    <xf numFmtId="0" fontId="17" fillId="0" borderId="0" xfId="1" applyFont="1" applyAlignment="1"/>
    <xf numFmtId="0" fontId="29" fillId="0" borderId="0" xfId="1" applyFont="1" applyBorder="1" applyAlignment="1"/>
    <xf numFmtId="0" fontId="28" fillId="0" borderId="10" xfId="1" applyFont="1" applyBorder="1" applyAlignment="1"/>
    <xf numFmtId="0" fontId="17" fillId="0" borderId="10" xfId="1" applyBorder="1" applyAlignment="1">
      <alignment wrapText="1"/>
    </xf>
    <xf numFmtId="0" fontId="17" fillId="0" borderId="10" xfId="1" applyFill="1" applyBorder="1" applyAlignment="1">
      <alignment wrapText="1"/>
    </xf>
    <xf numFmtId="0" fontId="29" fillId="0" borderId="10" xfId="1" applyFont="1" applyBorder="1" applyAlignment="1"/>
    <xf numFmtId="167" fontId="28" fillId="0" borderId="0" xfId="1" applyNumberFormat="1" applyFont="1" applyAlignment="1">
      <alignment horizontal="right" indent="1"/>
    </xf>
    <xf numFmtId="167" fontId="28" fillId="0" borderId="0" xfId="1" applyNumberFormat="1" applyFont="1" applyAlignment="1">
      <alignment horizontal="right"/>
    </xf>
    <xf numFmtId="3" fontId="28" fillId="0" borderId="0" xfId="1" applyNumberFormat="1" applyFont="1" applyAlignment="1">
      <alignment horizontal="right"/>
    </xf>
    <xf numFmtId="167" fontId="28" fillId="0" borderId="0" xfId="1" applyNumberFormat="1" applyFont="1" applyFill="1" applyAlignment="1">
      <alignment horizontal="right" indent="1"/>
    </xf>
    <xf numFmtId="49" fontId="28" fillId="0" borderId="0" xfId="1" applyNumberFormat="1" applyFont="1" applyAlignment="1">
      <alignment horizontal="left" indent="1"/>
    </xf>
    <xf numFmtId="0" fontId="28" fillId="0" borderId="0" xfId="1" applyFont="1" applyFill="1"/>
    <xf numFmtId="167" fontId="28" fillId="0" borderId="0" xfId="1" applyNumberFormat="1" applyFont="1" applyFill="1" applyAlignment="1">
      <alignment horizontal="right"/>
    </xf>
    <xf numFmtId="3" fontId="28" fillId="0" borderId="0" xfId="1" applyNumberFormat="1" applyFont="1" applyFill="1" applyAlignment="1">
      <alignment horizontal="right"/>
    </xf>
    <xf numFmtId="49" fontId="28" fillId="0" borderId="0" xfId="1" applyNumberFormat="1" applyFont="1" applyFill="1" applyAlignment="1">
      <alignment horizontal="left" indent="1"/>
    </xf>
    <xf numFmtId="0" fontId="31" fillId="0" borderId="0" xfId="1" applyFont="1" applyBorder="1" applyAlignment="1">
      <alignment wrapText="1"/>
    </xf>
    <xf numFmtId="0" fontId="31" fillId="0" borderId="12" xfId="1" applyFont="1" applyBorder="1" applyAlignment="1">
      <alignment horizontal="center" wrapText="1"/>
    </xf>
    <xf numFmtId="0" fontId="28" fillId="0" borderId="12" xfId="1" applyFont="1" applyBorder="1" applyAlignment="1">
      <alignment horizontal="center" wrapText="1"/>
    </xf>
    <xf numFmtId="0" fontId="32" fillId="0" borderId="12" xfId="1" applyFont="1" applyBorder="1" applyAlignment="1">
      <alignment horizontal="center" wrapText="1"/>
    </xf>
    <xf numFmtId="0" fontId="31" fillId="0" borderId="12" xfId="1" applyFont="1" applyFill="1" applyBorder="1" applyAlignment="1">
      <alignment horizontal="center" wrapText="1"/>
    </xf>
    <xf numFmtId="0" fontId="28" fillId="0" borderId="12" xfId="1" applyFont="1" applyFill="1" applyBorder="1" applyAlignment="1">
      <alignment horizontal="center" wrapText="1"/>
    </xf>
    <xf numFmtId="0" fontId="28" fillId="0" borderId="0" xfId="1" applyFont="1" applyBorder="1"/>
    <xf numFmtId="167" fontId="28" fillId="0" borderId="0" xfId="1" applyNumberFormat="1" applyFont="1" applyBorder="1"/>
    <xf numFmtId="3" fontId="28" fillId="0" borderId="0" xfId="1" applyNumberFormat="1" applyFont="1" applyBorder="1"/>
    <xf numFmtId="167" fontId="28" fillId="0" borderId="0" xfId="1" applyNumberFormat="1" applyFont="1" applyFill="1" applyBorder="1"/>
    <xf numFmtId="3" fontId="28" fillId="0" borderId="0" xfId="1" applyNumberFormat="1" applyFont="1" applyFill="1" applyBorder="1"/>
    <xf numFmtId="0" fontId="32" fillId="0" borderId="0" xfId="1" applyFont="1" applyBorder="1" applyAlignment="1">
      <alignment horizontal="left" vertical="center" wrapText="1"/>
    </xf>
    <xf numFmtId="0" fontId="32" fillId="0" borderId="0" xfId="1" applyFont="1" applyFill="1" applyBorder="1" applyAlignment="1">
      <alignment horizontal="left" vertical="center" wrapText="1"/>
    </xf>
    <xf numFmtId="0" fontId="32" fillId="0" borderId="10" xfId="1" applyFont="1" applyBorder="1" applyAlignment="1">
      <alignment horizontal="left" vertical="center" wrapText="1"/>
    </xf>
    <xf numFmtId="0" fontId="32" fillId="0" borderId="10" xfId="1" applyFont="1" applyBorder="1" applyAlignment="1">
      <alignment horizontal="left" vertical="center"/>
    </xf>
    <xf numFmtId="167" fontId="28" fillId="0" borderId="11" xfId="1" applyNumberFormat="1" applyFont="1" applyBorder="1"/>
    <xf numFmtId="3" fontId="28" fillId="0" borderId="11" xfId="1" applyNumberFormat="1" applyFont="1" applyBorder="1"/>
    <xf numFmtId="167" fontId="28" fillId="0" borderId="11" xfId="1" applyNumberFormat="1" applyFont="1" applyFill="1" applyBorder="1"/>
    <xf numFmtId="3" fontId="28" fillId="0" borderId="11" xfId="1" applyNumberFormat="1" applyFont="1" applyFill="1" applyBorder="1"/>
    <xf numFmtId="0" fontId="32" fillId="0" borderId="11" xfId="1" applyFont="1" applyBorder="1"/>
    <xf numFmtId="0" fontId="18" fillId="0" borderId="10" xfId="1" applyNumberFormat="1" applyFont="1" applyFill="1" applyBorder="1" applyAlignment="1">
      <alignment horizontal="left"/>
    </xf>
    <xf numFmtId="0" fontId="17" fillId="0" borderId="11" xfId="1" applyBorder="1" applyAlignment="1">
      <alignment horizontal="left"/>
    </xf>
    <xf numFmtId="0" fontId="18" fillId="0" borderId="10" xfId="1" applyNumberFormat="1" applyFont="1" applyFill="1" applyBorder="1" applyAlignment="1">
      <alignment horizontal="center"/>
    </xf>
    <xf numFmtId="0" fontId="18" fillId="0" borderId="11" xfId="1" applyNumberFormat="1" applyFont="1" applyFill="1" applyBorder="1" applyAlignment="1">
      <alignment horizontal="center"/>
    </xf>
    <xf numFmtId="0" fontId="18" fillId="0" borderId="12" xfId="1" applyNumberFormat="1" applyFont="1" applyFill="1" applyBorder="1" applyAlignment="1">
      <alignment horizontal="center"/>
    </xf>
    <xf numFmtId="0" fontId="18" fillId="0" borderId="0" xfId="1" applyFont="1"/>
    <xf numFmtId="0" fontId="18" fillId="0" borderId="13" xfId="1" applyFont="1" applyBorder="1"/>
    <xf numFmtId="0" fontId="18" fillId="0" borderId="0" xfId="1" applyNumberFormat="1" applyFont="1" applyFill="1" applyAlignment="1"/>
    <xf numFmtId="0" fontId="17" fillId="0" borderId="11" xfId="1" applyBorder="1" applyAlignment="1"/>
  </cellXfs>
  <cellStyles count="44">
    <cellStyle name="20% - Accent1 2" xfId="4"/>
    <cellStyle name="20% - Accent2 2" xfId="5"/>
    <cellStyle name="20% - Accent3 2" xfId="6"/>
    <cellStyle name="20% - Accent4 2" xfId="7"/>
    <cellStyle name="20% - Accent5 2" xfId="8"/>
    <cellStyle name="20% - Accent6 2" xfId="9"/>
    <cellStyle name="40% - Accent1 2" xfId="10"/>
    <cellStyle name="40% - Accent2 2" xfId="11"/>
    <cellStyle name="40% - Accent3 2" xfId="12"/>
    <cellStyle name="40% - Accent4 2" xfId="13"/>
    <cellStyle name="40% - Accent5 2" xfId="14"/>
    <cellStyle name="40% - Accent6 2" xfId="15"/>
    <cellStyle name="60% - Accent1 2" xfId="16"/>
    <cellStyle name="60% - Accent2 2" xfId="17"/>
    <cellStyle name="60% - Accent3 2" xfId="18"/>
    <cellStyle name="60% - Accent4 2" xfId="19"/>
    <cellStyle name="60% - Accent5 2" xfId="20"/>
    <cellStyle name="60% - Accent6 2" xfId="21"/>
    <cellStyle name="Accent1 2" xfId="22"/>
    <cellStyle name="Accent2 2" xfId="23"/>
    <cellStyle name="Accent3 2" xfId="24"/>
    <cellStyle name="Accent4 2" xfId="25"/>
    <cellStyle name="Accent5 2" xfId="26"/>
    <cellStyle name="Accent6 2" xfId="27"/>
    <cellStyle name="Bad 2" xfId="28"/>
    <cellStyle name="Calculation 2" xfId="29"/>
    <cellStyle name="Check Cell 2" xfId="30"/>
    <cellStyle name="Comma 2" xfId="2"/>
    <cellStyle name="Explanatory Text 2" xfId="31"/>
    <cellStyle name="Good 2" xfId="32"/>
    <cellStyle name="Heading 1 2" xfId="33"/>
    <cellStyle name="Heading 2 2" xfId="34"/>
    <cellStyle name="Heading 3 2" xfId="35"/>
    <cellStyle name="Heading 4 2" xfId="36"/>
    <cellStyle name="Input 2" xfId="37"/>
    <cellStyle name="Linked Cell 2" xfId="38"/>
    <cellStyle name="Neutral 2" xfId="39"/>
    <cellStyle name="Normal" xfId="0" builtinId="0"/>
    <cellStyle name="Normal 2" xfId="1"/>
    <cellStyle name="Normal 2 2" xfId="3"/>
    <cellStyle name="Note 2" xfId="40"/>
    <cellStyle name="Output 2" xfId="41"/>
    <cellStyle name="Total 2" xfId="42"/>
    <cellStyle name="Warning Text 2" xfId="4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D38" sqref="D38"/>
    </sheetView>
  </sheetViews>
  <sheetFormatPr defaultRowHeight="15" x14ac:dyDescent="0.25"/>
  <sheetData>
    <row r="1" spans="1:6" x14ac:dyDescent="0.25">
      <c r="A1" t="s">
        <v>32</v>
      </c>
      <c r="B1">
        <v>2015</v>
      </c>
      <c r="C1">
        <v>2016</v>
      </c>
      <c r="D1">
        <v>2017</v>
      </c>
      <c r="E1">
        <v>2018</v>
      </c>
      <c r="F1">
        <v>2019</v>
      </c>
    </row>
    <row r="2" spans="1:6" x14ac:dyDescent="0.25">
      <c r="A2" t="s">
        <v>31</v>
      </c>
      <c r="B2" s="2">
        <v>13847</v>
      </c>
      <c r="C2" s="2">
        <v>15355</v>
      </c>
      <c r="D2" s="2">
        <v>15206</v>
      </c>
      <c r="E2" s="2">
        <v>14446</v>
      </c>
      <c r="F2" s="2">
        <v>13927</v>
      </c>
    </row>
    <row r="3" spans="1:6" x14ac:dyDescent="0.25">
      <c r="A3" t="s">
        <v>30</v>
      </c>
      <c r="B3" s="2">
        <v>9143</v>
      </c>
      <c r="C3" s="2">
        <v>10398</v>
      </c>
      <c r="D3" s="2">
        <v>11014</v>
      </c>
      <c r="E3" s="2">
        <v>10445</v>
      </c>
      <c r="F3" s="2">
        <v>10258</v>
      </c>
    </row>
    <row r="4" spans="1:6" x14ac:dyDescent="0.25">
      <c r="A4" t="s">
        <v>29</v>
      </c>
      <c r="B4" s="2">
        <v>6194</v>
      </c>
      <c r="C4" s="2">
        <v>6778</v>
      </c>
      <c r="D4" s="2">
        <v>7052</v>
      </c>
      <c r="E4" s="2">
        <v>6683</v>
      </c>
      <c r="F4" s="2">
        <v>6368</v>
      </c>
    </row>
    <row r="5" spans="1:6" x14ac:dyDescent="0.25">
      <c r="A5" t="s">
        <v>28</v>
      </c>
      <c r="B5">
        <v>215</v>
      </c>
      <c r="C5">
        <v>300</v>
      </c>
      <c r="D5">
        <v>389</v>
      </c>
      <c r="E5">
        <v>305</v>
      </c>
      <c r="F5">
        <v>364</v>
      </c>
    </row>
    <row r="6" spans="1:6" x14ac:dyDescent="0.25">
      <c r="A6" t="s">
        <v>27</v>
      </c>
      <c r="B6">
        <v>248</v>
      </c>
      <c r="C6">
        <v>247</v>
      </c>
      <c r="D6">
        <v>263</v>
      </c>
      <c r="E6">
        <v>237</v>
      </c>
      <c r="F6">
        <v>200</v>
      </c>
    </row>
    <row r="7" spans="1:6" x14ac:dyDescent="0.25">
      <c r="A7" t="s">
        <v>26</v>
      </c>
      <c r="B7">
        <v>152</v>
      </c>
      <c r="C7">
        <v>172</v>
      </c>
      <c r="D7">
        <v>178</v>
      </c>
      <c r="E7">
        <v>164</v>
      </c>
      <c r="F7">
        <v>45</v>
      </c>
    </row>
    <row r="8" spans="1:6" x14ac:dyDescent="0.25">
      <c r="A8" t="s">
        <v>25</v>
      </c>
      <c r="B8" s="2">
        <v>2334</v>
      </c>
      <c r="C8" s="2">
        <v>2901</v>
      </c>
      <c r="D8" s="2">
        <v>3132</v>
      </c>
      <c r="E8" s="2">
        <v>3056</v>
      </c>
      <c r="F8" s="2">
        <v>3281</v>
      </c>
    </row>
    <row r="9" spans="1:6" x14ac:dyDescent="0.25">
      <c r="A9" t="s">
        <v>24</v>
      </c>
      <c r="B9" s="2">
        <v>1533</v>
      </c>
      <c r="C9" s="2">
        <v>1562</v>
      </c>
      <c r="D9" s="2">
        <v>1608</v>
      </c>
      <c r="E9" s="2">
        <v>1542</v>
      </c>
      <c r="F9" s="2">
        <v>1476</v>
      </c>
    </row>
    <row r="10" spans="1:6" x14ac:dyDescent="0.25">
      <c r="A10" t="s">
        <v>23</v>
      </c>
      <c r="B10">
        <v>438</v>
      </c>
      <c r="C10">
        <v>466</v>
      </c>
      <c r="D10">
        <v>474</v>
      </c>
      <c r="E10">
        <v>455</v>
      </c>
      <c r="F10">
        <v>397</v>
      </c>
    </row>
    <row r="11" spans="1:6" x14ac:dyDescent="0.25">
      <c r="A11" t="s">
        <v>22</v>
      </c>
      <c r="B11">
        <v>651</v>
      </c>
      <c r="C11">
        <v>668</v>
      </c>
      <c r="D11">
        <v>715</v>
      </c>
      <c r="E11">
        <v>712</v>
      </c>
      <c r="F11">
        <v>600</v>
      </c>
    </row>
    <row r="12" spans="1:6" x14ac:dyDescent="0.25">
      <c r="A12" t="s">
        <v>21</v>
      </c>
      <c r="B12">
        <v>8</v>
      </c>
      <c r="C12">
        <v>12</v>
      </c>
      <c r="D12">
        <v>15</v>
      </c>
      <c r="E12">
        <v>6</v>
      </c>
      <c r="F12">
        <v>16</v>
      </c>
    </row>
    <row r="13" spans="1:6" x14ac:dyDescent="0.25">
      <c r="A13" t="s">
        <v>20</v>
      </c>
      <c r="B13">
        <v>1</v>
      </c>
      <c r="C13">
        <v>1</v>
      </c>
      <c r="D13">
        <v>0</v>
      </c>
      <c r="E13">
        <v>4</v>
      </c>
      <c r="F13">
        <v>3</v>
      </c>
    </row>
    <row r="14" spans="1:6" x14ac:dyDescent="0.25">
      <c r="A14" t="s">
        <v>19</v>
      </c>
      <c r="B14">
        <v>63</v>
      </c>
      <c r="C14">
        <v>78</v>
      </c>
      <c r="D14">
        <v>93</v>
      </c>
      <c r="E14">
        <v>76</v>
      </c>
      <c r="F14">
        <v>81</v>
      </c>
    </row>
    <row r="15" spans="1:6" x14ac:dyDescent="0.25">
      <c r="A15" t="s">
        <v>18</v>
      </c>
      <c r="B15">
        <v>70</v>
      </c>
      <c r="C15">
        <v>119</v>
      </c>
      <c r="D15">
        <v>112</v>
      </c>
      <c r="E15">
        <v>102</v>
      </c>
      <c r="F15">
        <v>93</v>
      </c>
    </row>
    <row r="16" spans="1:6" x14ac:dyDescent="0.25">
      <c r="A16" t="s">
        <v>17</v>
      </c>
      <c r="B16">
        <v>12</v>
      </c>
      <c r="C16">
        <v>9</v>
      </c>
      <c r="D16">
        <v>8</v>
      </c>
      <c r="E16">
        <v>9</v>
      </c>
      <c r="F16">
        <v>7</v>
      </c>
    </row>
    <row r="17" spans="1:6" x14ac:dyDescent="0.25">
      <c r="A17" t="s">
        <v>16</v>
      </c>
      <c r="B17">
        <v>96</v>
      </c>
      <c r="C17">
        <v>97</v>
      </c>
      <c r="D17">
        <v>90</v>
      </c>
      <c r="E17">
        <v>75</v>
      </c>
      <c r="F17">
        <v>64</v>
      </c>
    </row>
    <row r="18" spans="1:6" x14ac:dyDescent="0.25">
      <c r="A18" t="s">
        <v>15</v>
      </c>
      <c r="B18">
        <v>105</v>
      </c>
      <c r="C18">
        <v>93</v>
      </c>
      <c r="D18">
        <v>112</v>
      </c>
      <c r="E18">
        <v>92</v>
      </c>
      <c r="F18">
        <v>92</v>
      </c>
    </row>
    <row r="19" spans="1:6" x14ac:dyDescent="0.25">
      <c r="A19" t="s">
        <v>14</v>
      </c>
      <c r="B19" s="2">
        <v>1727</v>
      </c>
      <c r="C19" s="2">
        <v>1852</v>
      </c>
      <c r="D19">
        <v>965</v>
      </c>
      <c r="E19">
        <v>928</v>
      </c>
      <c r="F19">
        <v>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selection activeCell="L18" sqref="L18"/>
    </sheetView>
  </sheetViews>
  <sheetFormatPr defaultRowHeight="15" x14ac:dyDescent="0.25"/>
  <sheetData>
    <row r="1" spans="1:2" x14ac:dyDescent="0.25">
      <c r="A1" t="s">
        <v>0</v>
      </c>
      <c r="B1" t="s">
        <v>138</v>
      </c>
    </row>
    <row r="2" spans="1:2" x14ac:dyDescent="0.25">
      <c r="A2" t="s">
        <v>2</v>
      </c>
      <c r="B2">
        <v>3581360</v>
      </c>
    </row>
    <row r="3" spans="1:2" x14ac:dyDescent="0.25">
      <c r="A3" t="s">
        <v>4</v>
      </c>
      <c r="B3">
        <v>563940</v>
      </c>
    </row>
    <row r="4" spans="1:2" x14ac:dyDescent="0.25">
      <c r="A4" t="s">
        <v>5</v>
      </c>
      <c r="B4">
        <v>734410</v>
      </c>
    </row>
    <row r="5" spans="1:2" x14ac:dyDescent="0.25">
      <c r="A5" t="s">
        <v>6</v>
      </c>
      <c r="B5">
        <v>182230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M13" sqref="M13"/>
    </sheetView>
  </sheetViews>
  <sheetFormatPr defaultRowHeight="15" x14ac:dyDescent="0.25"/>
  <sheetData>
    <row r="1" spans="1:3" x14ac:dyDescent="0.25">
      <c r="A1" t="s">
        <v>0</v>
      </c>
      <c r="B1" t="s">
        <v>1</v>
      </c>
      <c r="C1" t="s">
        <v>3</v>
      </c>
    </row>
    <row r="2" spans="1:3" x14ac:dyDescent="0.25">
      <c r="A2" t="s">
        <v>2</v>
      </c>
      <c r="B2" t="s">
        <v>2</v>
      </c>
      <c r="C2">
        <v>62.1</v>
      </c>
    </row>
    <row r="3" spans="1:3" x14ac:dyDescent="0.25">
      <c r="A3" t="s">
        <v>2</v>
      </c>
      <c r="B3" t="s">
        <v>4</v>
      </c>
      <c r="C3">
        <v>15.3</v>
      </c>
    </row>
    <row r="4" spans="1:3" x14ac:dyDescent="0.25">
      <c r="A4" t="s">
        <v>2</v>
      </c>
      <c r="B4" t="s">
        <v>5</v>
      </c>
      <c r="C4">
        <v>10.199999999999999</v>
      </c>
    </row>
    <row r="5" spans="1:3" x14ac:dyDescent="0.25">
      <c r="A5" t="s">
        <v>2</v>
      </c>
      <c r="B5" t="s">
        <v>6</v>
      </c>
      <c r="C5">
        <v>2.2000000000000002</v>
      </c>
    </row>
    <row r="6" spans="1:3" x14ac:dyDescent="0.25">
      <c r="A6" t="s">
        <v>2</v>
      </c>
      <c r="B6" t="s">
        <v>7</v>
      </c>
      <c r="C6">
        <v>8.1</v>
      </c>
    </row>
    <row r="7" spans="1:3" x14ac:dyDescent="0.25">
      <c r="A7" t="s">
        <v>2</v>
      </c>
      <c r="B7" t="s">
        <v>8</v>
      </c>
      <c r="C7">
        <v>2.1</v>
      </c>
    </row>
    <row r="8" spans="1:3" x14ac:dyDescent="0.25">
      <c r="A8" t="s">
        <v>4</v>
      </c>
      <c r="B8" t="s">
        <v>2</v>
      </c>
      <c r="C8">
        <v>10.6</v>
      </c>
    </row>
    <row r="9" spans="1:3" x14ac:dyDescent="0.25">
      <c r="A9" t="s">
        <v>4</v>
      </c>
      <c r="B9" t="s">
        <v>4</v>
      </c>
      <c r="C9">
        <v>70.3</v>
      </c>
    </row>
    <row r="10" spans="1:3" x14ac:dyDescent="0.25">
      <c r="A10" t="s">
        <v>4</v>
      </c>
      <c r="B10" t="s">
        <v>5</v>
      </c>
      <c r="C10">
        <v>7.9</v>
      </c>
    </row>
    <row r="11" spans="1:3" x14ac:dyDescent="0.25">
      <c r="A11" t="s">
        <v>4</v>
      </c>
      <c r="B11" t="s">
        <v>6</v>
      </c>
      <c r="C11">
        <v>0.1</v>
      </c>
    </row>
    <row r="12" spans="1:3" x14ac:dyDescent="0.25">
      <c r="A12" t="s">
        <v>4</v>
      </c>
      <c r="B12" t="s">
        <v>7</v>
      </c>
      <c r="C12">
        <v>9.3000000000000007</v>
      </c>
    </row>
    <row r="13" spans="1:3" x14ac:dyDescent="0.25">
      <c r="A13" t="s">
        <v>4</v>
      </c>
      <c r="B13" t="s">
        <v>8</v>
      </c>
      <c r="C13">
        <v>1.9</v>
      </c>
    </row>
    <row r="14" spans="1:3" x14ac:dyDescent="0.25">
      <c r="A14" t="s">
        <v>5</v>
      </c>
      <c r="B14" t="s">
        <v>2</v>
      </c>
      <c r="C14">
        <v>28.2</v>
      </c>
    </row>
    <row r="15" spans="1:3" x14ac:dyDescent="0.25">
      <c r="A15" t="s">
        <v>5</v>
      </c>
      <c r="B15" t="s">
        <v>4</v>
      </c>
      <c r="C15">
        <v>15.3</v>
      </c>
    </row>
    <row r="16" spans="1:3" x14ac:dyDescent="0.25">
      <c r="A16" t="s">
        <v>5</v>
      </c>
      <c r="B16" t="s">
        <v>5</v>
      </c>
      <c r="C16">
        <v>45.4</v>
      </c>
    </row>
    <row r="17" spans="1:3" x14ac:dyDescent="0.25">
      <c r="A17" t="s">
        <v>5</v>
      </c>
      <c r="B17" t="s">
        <v>6</v>
      </c>
      <c r="C17">
        <v>0.6</v>
      </c>
    </row>
    <row r="18" spans="1:3" x14ac:dyDescent="0.25">
      <c r="A18" t="s">
        <v>5</v>
      </c>
      <c r="B18" t="s">
        <v>7</v>
      </c>
      <c r="C18">
        <v>7.4</v>
      </c>
    </row>
    <row r="19" spans="1:3" x14ac:dyDescent="0.25">
      <c r="A19" t="s">
        <v>5</v>
      </c>
      <c r="B19" t="s">
        <v>8</v>
      </c>
      <c r="C19">
        <v>3</v>
      </c>
    </row>
    <row r="20" spans="1:3" x14ac:dyDescent="0.25">
      <c r="A20" t="s">
        <v>6</v>
      </c>
      <c r="B20" t="s">
        <v>2</v>
      </c>
      <c r="C20">
        <v>24.1</v>
      </c>
    </row>
    <row r="21" spans="1:3" x14ac:dyDescent="0.25">
      <c r="A21" t="s">
        <v>6</v>
      </c>
      <c r="B21" t="s">
        <v>4</v>
      </c>
      <c r="C21">
        <v>27.5</v>
      </c>
    </row>
    <row r="22" spans="1:3" x14ac:dyDescent="0.25">
      <c r="A22" t="s">
        <v>6</v>
      </c>
      <c r="B22" t="s">
        <v>5</v>
      </c>
      <c r="C22">
        <v>7</v>
      </c>
    </row>
    <row r="23" spans="1:3" x14ac:dyDescent="0.25">
      <c r="A23" t="s">
        <v>6</v>
      </c>
      <c r="B23" t="s">
        <v>6</v>
      </c>
      <c r="C23">
        <v>24.1</v>
      </c>
    </row>
    <row r="24" spans="1:3" x14ac:dyDescent="0.25">
      <c r="A24" t="s">
        <v>6</v>
      </c>
      <c r="B24" t="s">
        <v>7</v>
      </c>
      <c r="C24">
        <v>14.4</v>
      </c>
    </row>
    <row r="25" spans="1:3" x14ac:dyDescent="0.25">
      <c r="A25" t="s">
        <v>6</v>
      </c>
      <c r="B25" t="s">
        <v>8</v>
      </c>
      <c r="C25">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D25" sqref="D25"/>
    </sheetView>
  </sheetViews>
  <sheetFormatPr defaultRowHeight="15" x14ac:dyDescent="0.25"/>
  <cols>
    <col min="4" max="4" width="16.140625" bestFit="1" customWidth="1"/>
    <col min="5" max="5" width="13.7109375" bestFit="1" customWidth="1"/>
    <col min="6" max="6" width="10.7109375" bestFit="1" customWidth="1"/>
    <col min="7" max="7" width="17.85546875" bestFit="1" customWidth="1"/>
  </cols>
  <sheetData>
    <row r="1" spans="1:7" x14ac:dyDescent="0.25">
      <c r="A1" t="s">
        <v>9</v>
      </c>
      <c r="B1" t="s">
        <v>1</v>
      </c>
      <c r="C1" t="s">
        <v>0</v>
      </c>
      <c r="D1" t="s">
        <v>13</v>
      </c>
      <c r="E1" t="s">
        <v>11</v>
      </c>
      <c r="F1" t="s">
        <v>10</v>
      </c>
      <c r="G1" t="s">
        <v>12</v>
      </c>
    </row>
    <row r="2" spans="1:7" x14ac:dyDescent="0.25">
      <c r="A2" t="s">
        <v>2</v>
      </c>
      <c r="B2">
        <v>2669900</v>
      </c>
      <c r="C2">
        <v>3957720</v>
      </c>
      <c r="D2" s="1">
        <f>100*B2/SUM(B2:B6)</f>
        <v>51.299442409895974</v>
      </c>
      <c r="E2" s="1">
        <f>100*C2/SUM(C2:C6)</f>
        <v>66.470722596941926</v>
      </c>
      <c r="F2">
        <v>171493180</v>
      </c>
      <c r="G2">
        <v>62.3</v>
      </c>
    </row>
    <row r="3" spans="1:7" x14ac:dyDescent="0.25">
      <c r="A3" t="s">
        <v>4</v>
      </c>
      <c r="B3">
        <v>1155670</v>
      </c>
      <c r="C3">
        <v>644710</v>
      </c>
      <c r="D3" s="1">
        <f>100*B3/SUM(B2:B6)</f>
        <v>22.205036372090522</v>
      </c>
      <c r="E3" s="1">
        <f>100*C3/SUM(C2:C6)</f>
        <v>10.828037245048773</v>
      </c>
      <c r="F3">
        <v>33132390</v>
      </c>
      <c r="G3">
        <v>12</v>
      </c>
    </row>
    <row r="4" spans="1:7" x14ac:dyDescent="0.25">
      <c r="A4" t="s">
        <v>5</v>
      </c>
      <c r="B4">
        <v>767560</v>
      </c>
      <c r="C4">
        <v>825520</v>
      </c>
      <c r="D4" s="1">
        <f>100*B4/SUM(B2:B6)</f>
        <v>14.74789318556491</v>
      </c>
      <c r="E4" s="1">
        <f>100*C4/SUM(C2:C6)</f>
        <v>13.864778437642759</v>
      </c>
      <c r="F4">
        <v>46997610</v>
      </c>
      <c r="G4">
        <v>17.100000000000001</v>
      </c>
    </row>
    <row r="5" spans="1:7" x14ac:dyDescent="0.25">
      <c r="A5" t="s">
        <v>6</v>
      </c>
      <c r="B5">
        <v>131120</v>
      </c>
      <c r="C5">
        <v>249170</v>
      </c>
      <c r="D5" s="1">
        <f>100*B5/SUM(B2:B6)</f>
        <v>2.5193388848966478</v>
      </c>
      <c r="E5" s="1">
        <f>100*C5/SUM(C2:C6)</f>
        <v>4.1848614731411065</v>
      </c>
      <c r="F5">
        <v>17228930</v>
      </c>
      <c r="G5">
        <v>6.3</v>
      </c>
    </row>
    <row r="6" spans="1:7" x14ac:dyDescent="0.25">
      <c r="A6" t="s">
        <v>7</v>
      </c>
      <c r="B6">
        <v>480290</v>
      </c>
      <c r="C6">
        <v>276960</v>
      </c>
      <c r="D6" s="1">
        <f>100*B6/SUM(B2:B6)</f>
        <v>9.2282891475519442</v>
      </c>
      <c r="E6" s="1">
        <f>100*C6/SUM(C2:C6)</f>
        <v>4.6516002472254323</v>
      </c>
      <c r="F6">
        <v>6473280</v>
      </c>
      <c r="G6">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6"/>
  <sheetViews>
    <sheetView zoomScaleNormal="100" workbookViewId="0">
      <selection activeCell="A15" sqref="A15"/>
    </sheetView>
  </sheetViews>
  <sheetFormatPr defaultRowHeight="15.75" x14ac:dyDescent="0.25"/>
  <cols>
    <col min="1" max="1" width="45.140625" style="3" customWidth="1"/>
    <col min="2" max="2" width="11.42578125" style="3" bestFit="1" customWidth="1"/>
    <col min="3" max="4" width="10.140625" style="3" customWidth="1"/>
    <col min="5" max="5" width="9.85546875" style="3" bestFit="1" customWidth="1"/>
    <col min="6" max="6" width="9.140625" style="3" customWidth="1"/>
    <col min="7" max="7" width="9.28515625" style="3" customWidth="1"/>
    <col min="8" max="8" width="10.28515625" style="4" customWidth="1"/>
    <col min="9" max="9" width="7.28515625" style="4" customWidth="1"/>
    <col min="10" max="10" width="9.42578125" style="4" customWidth="1"/>
    <col min="11" max="11" width="9.85546875" style="4" customWidth="1"/>
    <col min="12" max="12" width="7.42578125" style="4" customWidth="1"/>
    <col min="13" max="13" width="9.85546875" style="4" customWidth="1"/>
    <col min="14" max="14" width="19.140625" style="3" customWidth="1"/>
    <col min="15" max="15" width="11.42578125" style="3" customWidth="1"/>
    <col min="16" max="16" width="10.28515625" style="3" customWidth="1"/>
    <col min="17" max="256" width="11.42578125" style="3" customWidth="1"/>
    <col min="257" max="16384" width="9.140625" style="3"/>
  </cols>
  <sheetData>
    <row r="1" spans="1:19" s="34" customFormat="1" ht="18.75" x14ac:dyDescent="0.3">
      <c r="A1" s="41" t="s">
        <v>82</v>
      </c>
      <c r="B1" s="40"/>
      <c r="C1" s="40"/>
      <c r="D1" s="40"/>
      <c r="E1" s="40"/>
      <c r="F1" s="40"/>
      <c r="G1" s="40"/>
      <c r="H1" s="40"/>
      <c r="I1" s="40"/>
      <c r="J1" s="40"/>
      <c r="K1" s="40"/>
      <c r="L1" s="40"/>
      <c r="M1" s="40"/>
      <c r="N1" s="40"/>
      <c r="O1" s="40"/>
      <c r="P1" s="40"/>
      <c r="Q1" s="40"/>
      <c r="R1" s="40"/>
      <c r="S1" s="40"/>
    </row>
    <row r="2" spans="1:19" s="34" customFormat="1" ht="18.75" x14ac:dyDescent="0.3">
      <c r="A2" s="39" t="s">
        <v>81</v>
      </c>
      <c r="B2" s="27"/>
      <c r="C2" s="27"/>
      <c r="D2" s="27"/>
      <c r="E2" s="27"/>
      <c r="F2" s="27"/>
      <c r="G2" s="27"/>
      <c r="H2" s="35"/>
      <c r="I2" s="35"/>
      <c r="J2" s="35"/>
      <c r="K2" s="35"/>
      <c r="L2" s="35"/>
      <c r="M2" s="35"/>
      <c r="N2" s="38"/>
      <c r="O2" s="38"/>
      <c r="P2" s="38"/>
      <c r="Q2" s="37"/>
      <c r="R2" s="37"/>
      <c r="S2" s="37"/>
    </row>
    <row r="3" spans="1:19" s="34" customFormat="1" ht="18.75" x14ac:dyDescent="0.3">
      <c r="A3" s="36" t="s">
        <v>80</v>
      </c>
    </row>
    <row r="4" spans="1:19" s="34" customFormat="1" ht="18.75" x14ac:dyDescent="0.3">
      <c r="A4" s="36" t="s">
        <v>79</v>
      </c>
      <c r="B4" s="35"/>
      <c r="C4" s="35"/>
      <c r="D4" s="35"/>
      <c r="E4" s="35"/>
      <c r="F4" s="35"/>
      <c r="G4" s="35"/>
      <c r="H4" s="35" t="s">
        <v>36</v>
      </c>
      <c r="I4" s="35"/>
      <c r="J4" s="35"/>
      <c r="K4" s="35"/>
      <c r="L4" s="35"/>
      <c r="M4" s="35"/>
    </row>
    <row r="5" spans="1:19" s="34" customFormat="1" ht="15.75" customHeight="1" x14ac:dyDescent="0.25">
      <c r="A5" s="105" t="s">
        <v>36</v>
      </c>
      <c r="B5" s="109" t="s">
        <v>78</v>
      </c>
      <c r="C5" s="109"/>
      <c r="D5" s="109"/>
      <c r="E5" s="109"/>
      <c r="F5" s="109"/>
      <c r="G5" s="109"/>
      <c r="H5" s="107" t="s">
        <v>77</v>
      </c>
      <c r="I5" s="107"/>
      <c r="J5" s="107"/>
      <c r="K5" s="107"/>
      <c r="L5" s="107"/>
      <c r="M5" s="107"/>
      <c r="N5" s="109" t="s">
        <v>78</v>
      </c>
      <c r="O5" s="109"/>
      <c r="P5" s="109"/>
      <c r="Q5" s="107" t="s">
        <v>77</v>
      </c>
      <c r="R5" s="107"/>
      <c r="S5" s="107"/>
    </row>
    <row r="6" spans="1:19" s="34" customFormat="1" x14ac:dyDescent="0.25">
      <c r="A6" s="106"/>
      <c r="B6" s="109" t="s">
        <v>9</v>
      </c>
      <c r="C6" s="109"/>
      <c r="D6" s="109"/>
      <c r="E6" s="109"/>
      <c r="F6" s="109"/>
      <c r="G6" s="109"/>
      <c r="H6" s="108"/>
      <c r="I6" s="108"/>
      <c r="J6" s="108"/>
      <c r="K6" s="108"/>
      <c r="L6" s="108"/>
      <c r="M6" s="108"/>
      <c r="N6" s="109" t="s">
        <v>76</v>
      </c>
      <c r="O6" s="109"/>
      <c r="P6" s="109"/>
      <c r="Q6" s="108"/>
      <c r="R6" s="108"/>
      <c r="S6" s="108"/>
    </row>
    <row r="7" spans="1:19" s="28" customFormat="1" ht="78.75" customHeight="1" x14ac:dyDescent="0.25">
      <c r="A7" s="33" t="s">
        <v>75</v>
      </c>
      <c r="B7" s="30" t="s">
        <v>31</v>
      </c>
      <c r="C7" s="30" t="s">
        <v>2</v>
      </c>
      <c r="D7" s="29" t="s">
        <v>74</v>
      </c>
      <c r="E7" s="29" t="s">
        <v>73</v>
      </c>
      <c r="F7" s="30" t="s">
        <v>6</v>
      </c>
      <c r="G7" s="29" t="s">
        <v>72</v>
      </c>
      <c r="H7" s="30" t="s">
        <v>31</v>
      </c>
      <c r="I7" s="30" t="s">
        <v>2</v>
      </c>
      <c r="J7" s="29" t="s">
        <v>74</v>
      </c>
      <c r="K7" s="29" t="s">
        <v>73</v>
      </c>
      <c r="L7" s="30" t="s">
        <v>6</v>
      </c>
      <c r="M7" s="29" t="s">
        <v>72</v>
      </c>
      <c r="N7" s="32" t="s">
        <v>71</v>
      </c>
      <c r="O7" s="31" t="s">
        <v>70</v>
      </c>
      <c r="P7" s="31" t="s">
        <v>69</v>
      </c>
      <c r="Q7" s="30" t="s">
        <v>31</v>
      </c>
      <c r="R7" s="29" t="s">
        <v>70</v>
      </c>
      <c r="S7" s="29" t="s">
        <v>69</v>
      </c>
    </row>
    <row r="8" spans="1:19" s="25" customFormat="1" ht="31.5" customHeight="1" x14ac:dyDescent="0.25">
      <c r="A8" s="25" t="s">
        <v>68</v>
      </c>
      <c r="B8" s="27">
        <v>7710900</v>
      </c>
      <c r="C8" s="27">
        <v>5319654</v>
      </c>
      <c r="D8" s="27">
        <v>2115381</v>
      </c>
      <c r="E8" s="27">
        <v>164430</v>
      </c>
      <c r="F8" s="27">
        <v>92737</v>
      </c>
      <c r="G8" s="27">
        <v>18698</v>
      </c>
      <c r="H8" s="26">
        <v>100</v>
      </c>
      <c r="I8" s="26">
        <v>69</v>
      </c>
      <c r="J8" s="26">
        <v>27.4</v>
      </c>
      <c r="K8" s="26">
        <v>2.1</v>
      </c>
      <c r="L8" s="26">
        <v>1.2</v>
      </c>
      <c r="M8" s="26">
        <v>0.2</v>
      </c>
      <c r="N8" s="27">
        <v>6343684</v>
      </c>
      <c r="O8" s="27">
        <v>1191334</v>
      </c>
      <c r="P8" s="27">
        <v>5152350</v>
      </c>
      <c r="Q8" s="26">
        <v>100</v>
      </c>
      <c r="R8" s="26">
        <v>18.8</v>
      </c>
      <c r="S8" s="26">
        <v>81.2</v>
      </c>
    </row>
    <row r="9" spans="1:19" ht="31.5" customHeight="1" x14ac:dyDescent="0.25">
      <c r="A9" s="3" t="s">
        <v>67</v>
      </c>
      <c r="B9" s="6">
        <v>8957</v>
      </c>
      <c r="C9" s="20">
        <v>3953</v>
      </c>
      <c r="D9" s="20">
        <v>4778</v>
      </c>
      <c r="E9" s="20">
        <v>105</v>
      </c>
      <c r="F9" s="21">
        <v>94</v>
      </c>
      <c r="G9" s="20">
        <v>27</v>
      </c>
      <c r="H9" s="19">
        <v>100</v>
      </c>
      <c r="I9" s="19">
        <v>44.1</v>
      </c>
      <c r="J9" s="19">
        <v>53.3</v>
      </c>
      <c r="K9" s="19">
        <v>1.2</v>
      </c>
      <c r="L9" s="19">
        <v>1</v>
      </c>
      <c r="M9" s="19">
        <v>0.3</v>
      </c>
      <c r="N9" s="22">
        <v>7050</v>
      </c>
      <c r="O9" s="22">
        <v>1472</v>
      </c>
      <c r="P9" s="22">
        <v>5578</v>
      </c>
      <c r="Q9" s="19">
        <v>100</v>
      </c>
      <c r="R9" s="19">
        <v>20.9</v>
      </c>
      <c r="S9" s="19">
        <v>79.099999999999994</v>
      </c>
    </row>
    <row r="10" spans="1:19" ht="18" customHeight="1" x14ac:dyDescent="0.25">
      <c r="A10" s="24" t="s">
        <v>66</v>
      </c>
      <c r="B10" s="6">
        <v>18776</v>
      </c>
      <c r="C10" s="20">
        <v>12794</v>
      </c>
      <c r="D10" s="20">
        <v>5376</v>
      </c>
      <c r="E10" s="20">
        <v>267</v>
      </c>
      <c r="F10" s="21">
        <v>289</v>
      </c>
      <c r="G10" s="20">
        <v>50</v>
      </c>
      <c r="H10" s="19">
        <v>100</v>
      </c>
      <c r="I10" s="19">
        <v>68.099999999999994</v>
      </c>
      <c r="J10" s="19">
        <v>28.6</v>
      </c>
      <c r="K10" s="19">
        <v>1.4</v>
      </c>
      <c r="L10" s="19">
        <v>1.5</v>
      </c>
      <c r="M10" s="19">
        <v>0.3</v>
      </c>
      <c r="N10" s="22">
        <v>15316</v>
      </c>
      <c r="O10" s="22">
        <v>4090</v>
      </c>
      <c r="P10" s="22">
        <v>11226</v>
      </c>
      <c r="Q10" s="19">
        <v>100</v>
      </c>
      <c r="R10" s="19">
        <v>26.7</v>
      </c>
      <c r="S10" s="19">
        <v>73.3</v>
      </c>
    </row>
    <row r="11" spans="1:19" ht="15.75" customHeight="1" x14ac:dyDescent="0.25">
      <c r="A11" s="3" t="s">
        <v>65</v>
      </c>
      <c r="B11" s="6">
        <v>66789</v>
      </c>
      <c r="C11" s="20">
        <v>29025</v>
      </c>
      <c r="D11" s="20">
        <v>36187</v>
      </c>
      <c r="E11" s="20">
        <v>676</v>
      </c>
      <c r="F11" s="21">
        <v>641</v>
      </c>
      <c r="G11" s="20">
        <v>260</v>
      </c>
      <c r="H11" s="19">
        <v>100</v>
      </c>
      <c r="I11" s="19">
        <v>43.5</v>
      </c>
      <c r="J11" s="19">
        <v>54.2</v>
      </c>
      <c r="K11" s="19">
        <v>1</v>
      </c>
      <c r="L11" s="19">
        <v>1</v>
      </c>
      <c r="M11" s="19">
        <v>0.4</v>
      </c>
      <c r="N11" s="22">
        <v>57048</v>
      </c>
      <c r="O11" s="22">
        <v>12823</v>
      </c>
      <c r="P11" s="22">
        <v>44225</v>
      </c>
      <c r="Q11" s="19">
        <v>100</v>
      </c>
      <c r="R11" s="19">
        <v>22.5</v>
      </c>
      <c r="S11" s="19">
        <v>77.5</v>
      </c>
    </row>
    <row r="12" spans="1:19" ht="15.75" customHeight="1" x14ac:dyDescent="0.25">
      <c r="A12" s="3" t="s">
        <v>64</v>
      </c>
      <c r="B12" s="6">
        <v>298040</v>
      </c>
      <c r="C12" s="20">
        <v>184527</v>
      </c>
      <c r="D12" s="20">
        <v>100393</v>
      </c>
      <c r="E12" s="20">
        <v>6736</v>
      </c>
      <c r="F12" s="21">
        <v>5078</v>
      </c>
      <c r="G12" s="20">
        <v>1306</v>
      </c>
      <c r="H12" s="19">
        <v>100</v>
      </c>
      <c r="I12" s="19">
        <v>61.9</v>
      </c>
      <c r="J12" s="19">
        <v>33.700000000000003</v>
      </c>
      <c r="K12" s="19">
        <v>2.2999999999999998</v>
      </c>
      <c r="L12" s="19">
        <v>1.7</v>
      </c>
      <c r="M12" s="19">
        <v>0.4</v>
      </c>
      <c r="N12" s="22">
        <v>254614</v>
      </c>
      <c r="O12" s="22">
        <v>65056</v>
      </c>
      <c r="P12" s="22">
        <v>189558</v>
      </c>
      <c r="Q12" s="19">
        <v>100</v>
      </c>
      <c r="R12" s="19">
        <v>25.6</v>
      </c>
      <c r="S12" s="19">
        <v>74.400000000000006</v>
      </c>
    </row>
    <row r="13" spans="1:19" ht="15.75" customHeight="1" x14ac:dyDescent="0.25">
      <c r="A13" s="3" t="s">
        <v>63</v>
      </c>
      <c r="B13" s="6">
        <v>134542</v>
      </c>
      <c r="C13" s="20">
        <v>91581</v>
      </c>
      <c r="D13" s="20">
        <v>39617</v>
      </c>
      <c r="E13" s="20">
        <v>1590</v>
      </c>
      <c r="F13" s="21">
        <v>1422</v>
      </c>
      <c r="G13" s="20">
        <v>332</v>
      </c>
      <c r="H13" s="19">
        <v>100</v>
      </c>
      <c r="I13" s="19">
        <v>68.099999999999994</v>
      </c>
      <c r="J13" s="19">
        <v>29.4</v>
      </c>
      <c r="K13" s="19">
        <v>1.2</v>
      </c>
      <c r="L13" s="19">
        <v>1.1000000000000001</v>
      </c>
      <c r="M13" s="19">
        <v>0.2</v>
      </c>
      <c r="N13" s="22">
        <v>114027</v>
      </c>
      <c r="O13" s="22">
        <v>23200</v>
      </c>
      <c r="P13" s="22">
        <v>90827</v>
      </c>
      <c r="Q13" s="19">
        <v>100</v>
      </c>
      <c r="R13" s="19">
        <v>20.3</v>
      </c>
      <c r="S13" s="19">
        <v>79.7</v>
      </c>
    </row>
    <row r="14" spans="1:19" ht="15.75" customHeight="1" x14ac:dyDescent="0.25">
      <c r="A14" s="3" t="s">
        <v>62</v>
      </c>
      <c r="B14" s="6">
        <v>669983</v>
      </c>
      <c r="C14" s="20">
        <v>448193</v>
      </c>
      <c r="D14" s="20">
        <v>201086</v>
      </c>
      <c r="E14" s="20">
        <v>11987</v>
      </c>
      <c r="F14" s="21">
        <v>7324</v>
      </c>
      <c r="G14" s="20">
        <v>1393</v>
      </c>
      <c r="H14" s="19">
        <v>100</v>
      </c>
      <c r="I14" s="19">
        <v>66.900000000000006</v>
      </c>
      <c r="J14" s="19">
        <v>30</v>
      </c>
      <c r="K14" s="19">
        <v>1.8</v>
      </c>
      <c r="L14" s="19">
        <v>1.1000000000000001</v>
      </c>
      <c r="M14" s="19">
        <v>0.2</v>
      </c>
      <c r="N14" s="22">
        <v>540174</v>
      </c>
      <c r="O14" s="22">
        <v>78106</v>
      </c>
      <c r="P14" s="22">
        <v>462068</v>
      </c>
      <c r="Q14" s="19">
        <v>100</v>
      </c>
      <c r="R14" s="19">
        <v>14.5</v>
      </c>
      <c r="S14" s="19">
        <v>85.5</v>
      </c>
    </row>
    <row r="15" spans="1:19" ht="15.75" customHeight="1" x14ac:dyDescent="0.25">
      <c r="A15" s="3" t="s">
        <v>61</v>
      </c>
      <c r="B15" s="6">
        <v>69002</v>
      </c>
      <c r="C15" s="20">
        <v>44512</v>
      </c>
      <c r="D15" s="20">
        <v>22305</v>
      </c>
      <c r="E15" s="20">
        <v>1151</v>
      </c>
      <c r="F15" s="21">
        <v>818</v>
      </c>
      <c r="G15" s="20">
        <v>216</v>
      </c>
      <c r="H15" s="19">
        <v>100</v>
      </c>
      <c r="I15" s="19">
        <v>64.5</v>
      </c>
      <c r="J15" s="19">
        <v>32.299999999999997</v>
      </c>
      <c r="K15" s="19">
        <v>1.7</v>
      </c>
      <c r="L15" s="19">
        <v>1.2</v>
      </c>
      <c r="M15" s="19">
        <v>0.3</v>
      </c>
      <c r="N15" s="22">
        <v>56263</v>
      </c>
      <c r="O15" s="22">
        <v>14392</v>
      </c>
      <c r="P15" s="22">
        <v>41871</v>
      </c>
      <c r="Q15" s="19">
        <v>100</v>
      </c>
      <c r="R15" s="19">
        <v>25.6</v>
      </c>
      <c r="S15" s="19">
        <v>74.400000000000006</v>
      </c>
    </row>
    <row r="16" spans="1:19" ht="15.75" customHeight="1" x14ac:dyDescent="0.25">
      <c r="A16" s="3" t="s">
        <v>60</v>
      </c>
      <c r="B16" s="6">
        <v>6946</v>
      </c>
      <c r="C16" s="20">
        <v>4938</v>
      </c>
      <c r="D16" s="20">
        <v>1740</v>
      </c>
      <c r="E16" s="20">
        <v>137</v>
      </c>
      <c r="F16" s="21">
        <v>101</v>
      </c>
      <c r="G16" s="20">
        <v>30</v>
      </c>
      <c r="H16" s="19">
        <v>100</v>
      </c>
      <c r="I16" s="19">
        <v>71.099999999999994</v>
      </c>
      <c r="J16" s="19">
        <v>25.1</v>
      </c>
      <c r="K16" s="19">
        <v>2</v>
      </c>
      <c r="L16" s="19">
        <v>1.5</v>
      </c>
      <c r="M16" s="19">
        <v>0.4</v>
      </c>
      <c r="N16" s="22">
        <v>5790</v>
      </c>
      <c r="O16" s="22">
        <v>1055</v>
      </c>
      <c r="P16" s="22">
        <v>4735</v>
      </c>
      <c r="Q16" s="19">
        <v>100</v>
      </c>
      <c r="R16" s="19">
        <v>18.2</v>
      </c>
      <c r="S16" s="19">
        <v>81.8</v>
      </c>
    </row>
    <row r="17" spans="1:19" ht="18.75" x14ac:dyDescent="0.25">
      <c r="A17" s="23" t="s">
        <v>59</v>
      </c>
      <c r="B17" s="6">
        <v>392562</v>
      </c>
      <c r="C17" s="6">
        <v>230299</v>
      </c>
      <c r="D17" s="6">
        <v>146734</v>
      </c>
      <c r="E17" s="6">
        <v>7784</v>
      </c>
      <c r="F17" s="6">
        <v>6102</v>
      </c>
      <c r="G17" s="6">
        <v>1643</v>
      </c>
      <c r="H17" s="19">
        <v>100</v>
      </c>
      <c r="I17" s="19">
        <v>58.7</v>
      </c>
      <c r="J17" s="19">
        <v>37.4</v>
      </c>
      <c r="K17" s="19">
        <v>2</v>
      </c>
      <c r="L17" s="19">
        <v>1.6</v>
      </c>
      <c r="M17" s="19">
        <v>0.4</v>
      </c>
      <c r="N17" s="6">
        <v>334028</v>
      </c>
      <c r="O17" s="6">
        <v>83441</v>
      </c>
      <c r="P17" s="6">
        <v>250587</v>
      </c>
      <c r="Q17" s="19">
        <v>100</v>
      </c>
      <c r="R17" s="19">
        <v>25</v>
      </c>
      <c r="S17" s="19">
        <v>75</v>
      </c>
    </row>
    <row r="18" spans="1:19" ht="18.75" x14ac:dyDescent="0.25">
      <c r="A18" s="23" t="s">
        <v>58</v>
      </c>
      <c r="B18" s="6">
        <v>880473</v>
      </c>
      <c r="C18" s="6">
        <v>589224</v>
      </c>
      <c r="D18" s="6">
        <v>264748</v>
      </c>
      <c r="E18" s="6">
        <v>14865</v>
      </c>
      <c r="F18" s="6">
        <v>9665</v>
      </c>
      <c r="G18" s="6">
        <v>1971</v>
      </c>
      <c r="H18" s="19">
        <v>100</v>
      </c>
      <c r="I18" s="19">
        <v>66.900000000000006</v>
      </c>
      <c r="J18" s="19">
        <v>30.1</v>
      </c>
      <c r="K18" s="19">
        <v>1.7</v>
      </c>
      <c r="L18" s="19">
        <v>1.1000000000000001</v>
      </c>
      <c r="M18" s="19">
        <v>0.2</v>
      </c>
      <c r="N18" s="6">
        <v>716254</v>
      </c>
      <c r="O18" s="6">
        <v>116753</v>
      </c>
      <c r="P18" s="6">
        <v>599501</v>
      </c>
      <c r="Q18" s="19">
        <v>100</v>
      </c>
      <c r="R18" s="19">
        <v>16.3</v>
      </c>
      <c r="S18" s="19">
        <v>83.7</v>
      </c>
    </row>
    <row r="19" spans="1:19" ht="15.75" customHeight="1" x14ac:dyDescent="0.25">
      <c r="A19" s="3" t="s">
        <v>57</v>
      </c>
      <c r="B19" s="6">
        <v>794787</v>
      </c>
      <c r="C19" s="20">
        <v>512025</v>
      </c>
      <c r="D19" s="20">
        <v>254360</v>
      </c>
      <c r="E19" s="20">
        <v>15711</v>
      </c>
      <c r="F19" s="21">
        <v>10348</v>
      </c>
      <c r="G19" s="20">
        <v>2343</v>
      </c>
      <c r="H19" s="19">
        <v>100</v>
      </c>
      <c r="I19" s="19">
        <v>64.400000000000006</v>
      </c>
      <c r="J19" s="19">
        <v>32</v>
      </c>
      <c r="K19" s="19">
        <v>2</v>
      </c>
      <c r="L19" s="19">
        <v>1.3</v>
      </c>
      <c r="M19" s="19">
        <v>0.3</v>
      </c>
      <c r="N19" s="22">
        <v>654150</v>
      </c>
      <c r="O19" s="22">
        <v>125007</v>
      </c>
      <c r="P19" s="22">
        <v>529143</v>
      </c>
      <c r="Q19" s="19">
        <v>100</v>
      </c>
      <c r="R19" s="19">
        <v>19.100000000000001</v>
      </c>
      <c r="S19" s="19">
        <v>80.900000000000006</v>
      </c>
    </row>
    <row r="20" spans="1:19" ht="15.75" customHeight="1" x14ac:dyDescent="0.25">
      <c r="A20" s="3" t="s">
        <v>56</v>
      </c>
      <c r="B20" s="6">
        <v>37724</v>
      </c>
      <c r="C20" s="20">
        <v>25140</v>
      </c>
      <c r="D20" s="20">
        <v>11637</v>
      </c>
      <c r="E20" s="20">
        <v>335</v>
      </c>
      <c r="F20" s="21">
        <v>548</v>
      </c>
      <c r="G20" s="20">
        <v>64</v>
      </c>
      <c r="H20" s="19">
        <v>100</v>
      </c>
      <c r="I20" s="19">
        <v>66.599999999999994</v>
      </c>
      <c r="J20" s="19">
        <v>30.8</v>
      </c>
      <c r="K20" s="19">
        <v>0.9</v>
      </c>
      <c r="L20" s="19">
        <v>1.5</v>
      </c>
      <c r="M20" s="19">
        <v>0.2</v>
      </c>
      <c r="N20" s="22">
        <v>31565</v>
      </c>
      <c r="O20" s="22">
        <v>5301</v>
      </c>
      <c r="P20" s="22">
        <v>26264</v>
      </c>
      <c r="Q20" s="19">
        <v>100</v>
      </c>
      <c r="R20" s="19">
        <v>16.8</v>
      </c>
      <c r="S20" s="19">
        <v>83.2</v>
      </c>
    </row>
    <row r="21" spans="1:19" ht="15.75" customHeight="1" x14ac:dyDescent="0.25">
      <c r="A21" s="3" t="s">
        <v>55</v>
      </c>
      <c r="B21" s="6">
        <v>89610</v>
      </c>
      <c r="C21" s="20">
        <v>58572</v>
      </c>
      <c r="D21" s="20">
        <v>28387</v>
      </c>
      <c r="E21" s="20">
        <v>1419</v>
      </c>
      <c r="F21" s="21">
        <v>1088</v>
      </c>
      <c r="G21" s="20">
        <v>144</v>
      </c>
      <c r="H21" s="19">
        <v>100</v>
      </c>
      <c r="I21" s="19">
        <v>65.400000000000006</v>
      </c>
      <c r="J21" s="19">
        <v>31.7</v>
      </c>
      <c r="K21" s="19">
        <v>1.6</v>
      </c>
      <c r="L21" s="19">
        <v>1.2</v>
      </c>
      <c r="M21" s="19">
        <v>0.2</v>
      </c>
      <c r="N21" s="22">
        <v>74521</v>
      </c>
      <c r="O21" s="22">
        <v>9636</v>
      </c>
      <c r="P21" s="22">
        <v>64885</v>
      </c>
      <c r="Q21" s="19">
        <v>100</v>
      </c>
      <c r="R21" s="19">
        <v>12.9</v>
      </c>
      <c r="S21" s="19">
        <v>87.1</v>
      </c>
    </row>
    <row r="22" spans="1:19" ht="15.75" customHeight="1" x14ac:dyDescent="0.25">
      <c r="A22" s="3" t="s">
        <v>54</v>
      </c>
      <c r="B22" s="6">
        <v>11174</v>
      </c>
      <c r="C22" s="20">
        <v>6923</v>
      </c>
      <c r="D22" s="20">
        <v>3955</v>
      </c>
      <c r="E22" s="20">
        <v>122</v>
      </c>
      <c r="F22" s="21">
        <v>159</v>
      </c>
      <c r="G22" s="20">
        <v>15</v>
      </c>
      <c r="H22" s="19">
        <v>100</v>
      </c>
      <c r="I22" s="19">
        <v>62</v>
      </c>
      <c r="J22" s="19">
        <v>35.4</v>
      </c>
      <c r="K22" s="19">
        <v>1.1000000000000001</v>
      </c>
      <c r="L22" s="19">
        <v>1.4</v>
      </c>
      <c r="M22" s="19">
        <v>0.1</v>
      </c>
      <c r="N22" s="22">
        <v>9252</v>
      </c>
      <c r="O22" s="22">
        <v>1193</v>
      </c>
      <c r="P22" s="22">
        <v>8059</v>
      </c>
      <c r="Q22" s="19">
        <v>100</v>
      </c>
      <c r="R22" s="19">
        <v>12.9</v>
      </c>
      <c r="S22" s="19">
        <v>87.1</v>
      </c>
    </row>
    <row r="23" spans="1:19" ht="15.75" customHeight="1" x14ac:dyDescent="0.25">
      <c r="A23" s="3" t="s">
        <v>53</v>
      </c>
      <c r="B23" s="6">
        <v>69874</v>
      </c>
      <c r="C23" s="20">
        <v>44179</v>
      </c>
      <c r="D23" s="20">
        <v>23661</v>
      </c>
      <c r="E23" s="20">
        <v>881</v>
      </c>
      <c r="F23" s="21">
        <v>819</v>
      </c>
      <c r="G23" s="20">
        <v>334</v>
      </c>
      <c r="H23" s="19">
        <v>100</v>
      </c>
      <c r="I23" s="19">
        <v>63.2</v>
      </c>
      <c r="J23" s="19">
        <v>33.9</v>
      </c>
      <c r="K23" s="19">
        <v>1.3</v>
      </c>
      <c r="L23" s="19">
        <v>1.2</v>
      </c>
      <c r="M23" s="19">
        <v>0.5</v>
      </c>
      <c r="N23" s="22">
        <v>57379</v>
      </c>
      <c r="O23" s="22">
        <v>11278</v>
      </c>
      <c r="P23" s="22">
        <v>46101</v>
      </c>
      <c r="Q23" s="19">
        <v>100</v>
      </c>
      <c r="R23" s="19">
        <v>19.7</v>
      </c>
      <c r="S23" s="19">
        <v>80.3</v>
      </c>
    </row>
    <row r="24" spans="1:19" ht="15.75" customHeight="1" x14ac:dyDescent="0.25">
      <c r="A24" s="3" t="s">
        <v>52</v>
      </c>
      <c r="B24" s="6">
        <v>134794</v>
      </c>
      <c r="C24" s="20">
        <v>91176</v>
      </c>
      <c r="D24" s="20">
        <v>38887</v>
      </c>
      <c r="E24" s="20">
        <v>2949</v>
      </c>
      <c r="F24" s="21">
        <v>1552</v>
      </c>
      <c r="G24" s="20">
        <v>230</v>
      </c>
      <c r="H24" s="19">
        <v>100</v>
      </c>
      <c r="I24" s="19">
        <v>67.599999999999994</v>
      </c>
      <c r="J24" s="19">
        <v>28.8</v>
      </c>
      <c r="K24" s="19">
        <v>2.2000000000000002</v>
      </c>
      <c r="L24" s="19">
        <v>1.2</v>
      </c>
      <c r="M24" s="19">
        <v>0.2</v>
      </c>
      <c r="N24" s="22">
        <v>112716</v>
      </c>
      <c r="O24" s="22">
        <v>21479</v>
      </c>
      <c r="P24" s="22">
        <v>91237</v>
      </c>
      <c r="Q24" s="19">
        <v>100</v>
      </c>
      <c r="R24" s="19">
        <v>19.100000000000001</v>
      </c>
      <c r="S24" s="19">
        <v>80.900000000000006</v>
      </c>
    </row>
    <row r="25" spans="1:19" ht="15.75" customHeight="1" x14ac:dyDescent="0.25">
      <c r="A25" s="3" t="s">
        <v>51</v>
      </c>
      <c r="B25" s="6">
        <v>126332</v>
      </c>
      <c r="C25" s="20">
        <v>68756</v>
      </c>
      <c r="D25" s="20">
        <v>54715</v>
      </c>
      <c r="E25" s="20">
        <v>1094</v>
      </c>
      <c r="F25" s="21">
        <v>1390</v>
      </c>
      <c r="G25" s="20">
        <v>377</v>
      </c>
      <c r="H25" s="19">
        <v>100</v>
      </c>
      <c r="I25" s="19">
        <v>54.4</v>
      </c>
      <c r="J25" s="19">
        <v>43.3</v>
      </c>
      <c r="K25" s="19">
        <v>0.9</v>
      </c>
      <c r="L25" s="19">
        <v>1.1000000000000001</v>
      </c>
      <c r="M25" s="19">
        <v>0.3</v>
      </c>
      <c r="N25" s="22">
        <v>100312</v>
      </c>
      <c r="O25" s="22">
        <v>23663</v>
      </c>
      <c r="P25" s="22">
        <v>76649</v>
      </c>
      <c r="Q25" s="19">
        <v>100</v>
      </c>
      <c r="R25" s="19">
        <v>23.6</v>
      </c>
      <c r="S25" s="19">
        <v>76.400000000000006</v>
      </c>
    </row>
    <row r="26" spans="1:19" ht="15.75" customHeight="1" x14ac:dyDescent="0.25">
      <c r="A26" s="3" t="s">
        <v>50</v>
      </c>
      <c r="B26" s="6">
        <v>23502</v>
      </c>
      <c r="C26" s="20">
        <v>12928</v>
      </c>
      <c r="D26" s="20">
        <v>9109</v>
      </c>
      <c r="E26" s="20">
        <v>95</v>
      </c>
      <c r="F26" s="21">
        <v>1309</v>
      </c>
      <c r="G26" s="20">
        <v>61</v>
      </c>
      <c r="H26" s="19">
        <v>100</v>
      </c>
      <c r="I26" s="19">
        <v>55</v>
      </c>
      <c r="J26" s="19">
        <v>38.799999999999997</v>
      </c>
      <c r="K26" s="19">
        <v>0.4</v>
      </c>
      <c r="L26" s="19">
        <v>5.6</v>
      </c>
      <c r="M26" s="19">
        <v>0.3</v>
      </c>
      <c r="N26" s="22">
        <v>21484</v>
      </c>
      <c r="O26" s="22">
        <v>4379</v>
      </c>
      <c r="P26" s="22">
        <v>17105</v>
      </c>
      <c r="Q26" s="19">
        <v>100</v>
      </c>
      <c r="R26" s="19">
        <v>20.399999999999999</v>
      </c>
      <c r="S26" s="19">
        <v>79.599999999999994</v>
      </c>
    </row>
    <row r="27" spans="1:19" ht="15.75" customHeight="1" x14ac:dyDescent="0.25">
      <c r="A27" s="3" t="s">
        <v>49</v>
      </c>
      <c r="B27" s="6">
        <v>35157</v>
      </c>
      <c r="C27" s="20">
        <v>25338</v>
      </c>
      <c r="D27" s="20">
        <v>8403</v>
      </c>
      <c r="E27" s="20">
        <v>587</v>
      </c>
      <c r="F27" s="21">
        <v>751</v>
      </c>
      <c r="G27" s="20">
        <v>78</v>
      </c>
      <c r="H27" s="19">
        <v>100</v>
      </c>
      <c r="I27" s="19">
        <v>72.099999999999994</v>
      </c>
      <c r="J27" s="19">
        <v>23.9</v>
      </c>
      <c r="K27" s="19">
        <v>1.7</v>
      </c>
      <c r="L27" s="19">
        <v>2.1</v>
      </c>
      <c r="M27" s="19">
        <v>0.2</v>
      </c>
      <c r="N27" s="22">
        <v>28928</v>
      </c>
      <c r="O27" s="22">
        <v>7398</v>
      </c>
      <c r="P27" s="22">
        <v>21530</v>
      </c>
      <c r="Q27" s="19">
        <v>100</v>
      </c>
      <c r="R27" s="19">
        <v>25.6</v>
      </c>
      <c r="S27" s="19">
        <v>74.400000000000006</v>
      </c>
    </row>
    <row r="28" spans="1:19" ht="15.75" customHeight="1" x14ac:dyDescent="0.25">
      <c r="A28" s="3" t="s">
        <v>48</v>
      </c>
      <c r="B28" s="6">
        <v>1234178</v>
      </c>
      <c r="C28" s="20">
        <v>871295</v>
      </c>
      <c r="D28" s="20">
        <v>333113</v>
      </c>
      <c r="E28" s="20">
        <v>14148</v>
      </c>
      <c r="F28" s="21">
        <v>13345</v>
      </c>
      <c r="G28" s="20">
        <v>2277</v>
      </c>
      <c r="H28" s="19">
        <v>100</v>
      </c>
      <c r="I28" s="19">
        <v>70.599999999999994</v>
      </c>
      <c r="J28" s="19">
        <v>27</v>
      </c>
      <c r="K28" s="19">
        <v>1.1000000000000001</v>
      </c>
      <c r="L28" s="19">
        <v>1.1000000000000001</v>
      </c>
      <c r="M28" s="19">
        <v>0.2</v>
      </c>
      <c r="N28" s="22">
        <v>1044789</v>
      </c>
      <c r="O28" s="22">
        <v>211692</v>
      </c>
      <c r="P28" s="22">
        <v>833097</v>
      </c>
      <c r="Q28" s="19">
        <v>100</v>
      </c>
      <c r="R28" s="19">
        <v>20.3</v>
      </c>
      <c r="S28" s="19">
        <v>79.7</v>
      </c>
    </row>
    <row r="29" spans="1:19" ht="15.75" customHeight="1" x14ac:dyDescent="0.25">
      <c r="A29" s="3" t="s">
        <v>47</v>
      </c>
      <c r="B29" s="6">
        <v>2465</v>
      </c>
      <c r="C29" s="20">
        <v>1000</v>
      </c>
      <c r="D29" s="20">
        <v>1198</v>
      </c>
      <c r="E29" s="20">
        <v>11</v>
      </c>
      <c r="F29" s="21">
        <v>205</v>
      </c>
      <c r="G29" s="20">
        <v>51</v>
      </c>
      <c r="H29" s="19">
        <v>100</v>
      </c>
      <c r="I29" s="19">
        <v>40.6</v>
      </c>
      <c r="J29" s="19">
        <v>48.6</v>
      </c>
      <c r="K29" s="19">
        <v>0.4</v>
      </c>
      <c r="L29" s="19">
        <v>8.3000000000000007</v>
      </c>
      <c r="M29" s="19">
        <v>2.1</v>
      </c>
      <c r="N29" s="22">
        <v>1390</v>
      </c>
      <c r="O29" s="5">
        <v>341</v>
      </c>
      <c r="P29" s="22">
        <v>1049</v>
      </c>
      <c r="Q29" s="19">
        <v>100</v>
      </c>
      <c r="R29" s="19">
        <v>24.5</v>
      </c>
      <c r="S29" s="19">
        <v>75.5</v>
      </c>
    </row>
    <row r="30" spans="1:19" ht="15.75" customHeight="1" x14ac:dyDescent="0.25">
      <c r="A30" s="3" t="s">
        <v>46</v>
      </c>
      <c r="B30" s="6">
        <v>64357</v>
      </c>
      <c r="C30" s="20">
        <v>43371</v>
      </c>
      <c r="D30" s="20">
        <v>18530</v>
      </c>
      <c r="E30" s="20">
        <v>1895</v>
      </c>
      <c r="F30" s="21">
        <v>510</v>
      </c>
      <c r="G30" s="20">
        <v>51</v>
      </c>
      <c r="H30" s="19">
        <v>100</v>
      </c>
      <c r="I30" s="19">
        <v>67.400000000000006</v>
      </c>
      <c r="J30" s="19">
        <v>28.8</v>
      </c>
      <c r="K30" s="19">
        <v>2.9</v>
      </c>
      <c r="L30" s="19">
        <v>0.8</v>
      </c>
      <c r="M30" s="19">
        <v>0.1</v>
      </c>
      <c r="N30" s="22">
        <v>51589</v>
      </c>
      <c r="O30" s="22">
        <v>5999</v>
      </c>
      <c r="P30" s="22">
        <v>45590</v>
      </c>
      <c r="Q30" s="19">
        <v>100</v>
      </c>
      <c r="R30" s="19">
        <v>11.6</v>
      </c>
      <c r="S30" s="19">
        <v>88.4</v>
      </c>
    </row>
    <row r="31" spans="1:19" ht="15.75" customHeight="1" x14ac:dyDescent="0.25">
      <c r="A31" s="3" t="s">
        <v>45</v>
      </c>
      <c r="B31" s="6">
        <v>736644</v>
      </c>
      <c r="C31" s="20">
        <v>597919</v>
      </c>
      <c r="D31" s="20">
        <v>108703</v>
      </c>
      <c r="E31" s="20">
        <v>13150</v>
      </c>
      <c r="F31" s="21">
        <v>14323</v>
      </c>
      <c r="G31" s="20">
        <v>2549</v>
      </c>
      <c r="H31" s="19">
        <v>100</v>
      </c>
      <c r="I31" s="19">
        <v>81.2</v>
      </c>
      <c r="J31" s="19">
        <v>14.8</v>
      </c>
      <c r="K31" s="19">
        <v>1.8</v>
      </c>
      <c r="L31" s="19">
        <v>1.9</v>
      </c>
      <c r="M31" s="19">
        <v>0.3</v>
      </c>
      <c r="N31" s="22">
        <v>604136</v>
      </c>
      <c r="O31" s="22">
        <v>147221</v>
      </c>
      <c r="P31" s="22">
        <v>456915</v>
      </c>
      <c r="Q31" s="19">
        <v>100</v>
      </c>
      <c r="R31" s="19">
        <v>24.4</v>
      </c>
      <c r="S31" s="19">
        <v>75.599999999999994</v>
      </c>
    </row>
    <row r="32" spans="1:19" ht="15.75" customHeight="1" x14ac:dyDescent="0.25">
      <c r="A32" s="3" t="s">
        <v>44</v>
      </c>
      <c r="B32" s="6">
        <v>128453</v>
      </c>
      <c r="C32" s="20">
        <v>100687</v>
      </c>
      <c r="D32" s="20">
        <v>18743</v>
      </c>
      <c r="E32" s="20">
        <v>6973</v>
      </c>
      <c r="F32" s="21">
        <v>1876</v>
      </c>
      <c r="G32" s="20">
        <v>174</v>
      </c>
      <c r="H32" s="19">
        <v>100</v>
      </c>
      <c r="I32" s="19">
        <v>78.400000000000006</v>
      </c>
      <c r="J32" s="19">
        <v>14.6</v>
      </c>
      <c r="K32" s="19">
        <v>5.4</v>
      </c>
      <c r="L32" s="19">
        <v>1.5</v>
      </c>
      <c r="M32" s="19">
        <v>0.1</v>
      </c>
      <c r="N32" s="22">
        <v>102624</v>
      </c>
      <c r="O32" s="22">
        <v>15979</v>
      </c>
      <c r="P32" s="22">
        <v>86645</v>
      </c>
      <c r="Q32" s="19">
        <v>100</v>
      </c>
      <c r="R32" s="19">
        <v>15.6</v>
      </c>
      <c r="S32" s="19">
        <v>84.4</v>
      </c>
    </row>
    <row r="33" spans="1:19" ht="15.75" customHeight="1" x14ac:dyDescent="0.25">
      <c r="A33" s="3" t="s">
        <v>43</v>
      </c>
      <c r="B33" s="6">
        <v>251490</v>
      </c>
      <c r="C33" s="20">
        <v>193042</v>
      </c>
      <c r="D33" s="20">
        <v>37781</v>
      </c>
      <c r="E33" s="20">
        <v>17412</v>
      </c>
      <c r="F33" s="21">
        <v>2825</v>
      </c>
      <c r="G33" s="20">
        <v>430</v>
      </c>
      <c r="H33" s="19">
        <v>100</v>
      </c>
      <c r="I33" s="19">
        <v>76.8</v>
      </c>
      <c r="J33" s="19">
        <v>15</v>
      </c>
      <c r="K33" s="19">
        <v>6.9</v>
      </c>
      <c r="L33" s="19">
        <v>1.1000000000000001</v>
      </c>
      <c r="M33" s="19">
        <v>0.2</v>
      </c>
      <c r="N33" s="22">
        <v>233325</v>
      </c>
      <c r="O33" s="22">
        <v>52491</v>
      </c>
      <c r="P33" s="22">
        <v>180834</v>
      </c>
      <c r="Q33" s="19">
        <v>100</v>
      </c>
      <c r="R33" s="19">
        <v>22.5</v>
      </c>
      <c r="S33" s="19">
        <v>77.5</v>
      </c>
    </row>
    <row r="34" spans="1:19" ht="15.75" customHeight="1" x14ac:dyDescent="0.25">
      <c r="A34" s="3" t="s">
        <v>42</v>
      </c>
      <c r="B34" s="6">
        <v>248716</v>
      </c>
      <c r="C34" s="20">
        <v>158533</v>
      </c>
      <c r="D34" s="20">
        <v>78192</v>
      </c>
      <c r="E34" s="20">
        <v>9770</v>
      </c>
      <c r="F34" s="21">
        <v>1926</v>
      </c>
      <c r="G34" s="20">
        <v>295</v>
      </c>
      <c r="H34" s="19">
        <v>100</v>
      </c>
      <c r="I34" s="19">
        <v>63.7</v>
      </c>
      <c r="J34" s="19">
        <v>31.4</v>
      </c>
      <c r="K34" s="19">
        <v>3.9</v>
      </c>
      <c r="L34" s="19">
        <v>0.8</v>
      </c>
      <c r="M34" s="19">
        <v>0.1</v>
      </c>
      <c r="N34" s="22">
        <v>186261</v>
      </c>
      <c r="O34" s="22">
        <v>24553</v>
      </c>
      <c r="P34" s="22">
        <v>161708</v>
      </c>
      <c r="Q34" s="19">
        <v>100</v>
      </c>
      <c r="R34" s="19">
        <v>13.2</v>
      </c>
      <c r="S34" s="19">
        <v>86.8</v>
      </c>
    </row>
    <row r="35" spans="1:19" ht="15.75" customHeight="1" x14ac:dyDescent="0.25">
      <c r="A35" s="3" t="s">
        <v>41</v>
      </c>
      <c r="B35" s="6">
        <v>18048</v>
      </c>
      <c r="C35" s="20">
        <v>12823</v>
      </c>
      <c r="D35" s="20">
        <v>4458</v>
      </c>
      <c r="E35" s="20">
        <v>482</v>
      </c>
      <c r="F35" s="21">
        <v>261</v>
      </c>
      <c r="G35" s="20">
        <v>24</v>
      </c>
      <c r="H35" s="19">
        <v>100</v>
      </c>
      <c r="I35" s="19">
        <v>71</v>
      </c>
      <c r="J35" s="19">
        <v>24.7</v>
      </c>
      <c r="K35" s="19">
        <v>2.7</v>
      </c>
      <c r="L35" s="19">
        <v>1.4</v>
      </c>
      <c r="M35" s="19">
        <v>0.1</v>
      </c>
      <c r="N35" s="22">
        <v>16649</v>
      </c>
      <c r="O35" s="22">
        <v>2557</v>
      </c>
      <c r="P35" s="22">
        <v>14092</v>
      </c>
      <c r="Q35" s="19">
        <v>100</v>
      </c>
      <c r="R35" s="19">
        <v>15.4</v>
      </c>
      <c r="S35" s="19">
        <v>84.6</v>
      </c>
    </row>
    <row r="36" spans="1:19" ht="15.75" customHeight="1" x14ac:dyDescent="0.25">
      <c r="A36" s="3" t="s">
        <v>40</v>
      </c>
      <c r="B36" s="6">
        <v>2413408</v>
      </c>
      <c r="C36" s="20">
        <v>1666825</v>
      </c>
      <c r="D36" s="20">
        <v>663086</v>
      </c>
      <c r="E36" s="20">
        <v>54410</v>
      </c>
      <c r="F36" s="21">
        <v>23550</v>
      </c>
      <c r="G36" s="20">
        <v>5537</v>
      </c>
      <c r="H36" s="19">
        <v>100</v>
      </c>
      <c r="I36" s="19">
        <v>69.099999999999994</v>
      </c>
      <c r="J36" s="19">
        <v>27.5</v>
      </c>
      <c r="K36" s="19">
        <v>2.2999999999999998</v>
      </c>
      <c r="L36" s="19">
        <v>1</v>
      </c>
      <c r="M36" s="19">
        <v>0.2</v>
      </c>
      <c r="N36" s="22">
        <v>1947281</v>
      </c>
      <c r="O36" s="22">
        <v>317928</v>
      </c>
      <c r="P36" s="22">
        <v>1629353</v>
      </c>
      <c r="Q36" s="19">
        <v>100</v>
      </c>
      <c r="R36" s="19">
        <v>16.3</v>
      </c>
      <c r="S36" s="19">
        <v>83.7</v>
      </c>
    </row>
    <row r="37" spans="1:19" ht="15.75" customHeight="1" x14ac:dyDescent="0.25">
      <c r="A37" s="3" t="s">
        <v>39</v>
      </c>
      <c r="B37" s="6">
        <v>432</v>
      </c>
      <c r="C37" s="20">
        <v>237</v>
      </c>
      <c r="D37" s="20">
        <v>129</v>
      </c>
      <c r="E37" s="20">
        <v>65</v>
      </c>
      <c r="F37" s="21">
        <v>1</v>
      </c>
      <c r="G37" s="20">
        <v>0</v>
      </c>
      <c r="H37" s="19">
        <v>100</v>
      </c>
      <c r="I37" s="19">
        <v>54.9</v>
      </c>
      <c r="J37" s="19">
        <v>29.9</v>
      </c>
      <c r="K37" s="19">
        <v>15</v>
      </c>
      <c r="L37" s="19">
        <v>0.2</v>
      </c>
      <c r="M37" s="19">
        <v>0</v>
      </c>
      <c r="N37" s="22">
        <v>390</v>
      </c>
      <c r="O37" s="22">
        <v>15</v>
      </c>
      <c r="P37" s="22">
        <v>375</v>
      </c>
      <c r="Q37" s="19">
        <v>100</v>
      </c>
      <c r="R37" s="19">
        <v>3.8</v>
      </c>
      <c r="S37" s="19">
        <v>96.2</v>
      </c>
    </row>
    <row r="38" spans="1:19" ht="15.75" customHeight="1" x14ac:dyDescent="0.25">
      <c r="A38" s="3" t="s">
        <v>38</v>
      </c>
      <c r="B38" s="6">
        <v>16720</v>
      </c>
      <c r="C38" s="20">
        <v>9362</v>
      </c>
      <c r="D38" s="20">
        <v>6852</v>
      </c>
      <c r="E38" s="20">
        <v>272</v>
      </c>
      <c r="F38" s="21">
        <v>184</v>
      </c>
      <c r="G38" s="20">
        <v>50</v>
      </c>
      <c r="H38" s="19">
        <v>100</v>
      </c>
      <c r="I38" s="19">
        <v>56</v>
      </c>
      <c r="J38" s="19">
        <v>41</v>
      </c>
      <c r="K38" s="19">
        <v>1.6</v>
      </c>
      <c r="L38" s="19">
        <v>1.1000000000000001</v>
      </c>
      <c r="M38" s="19">
        <v>0.3</v>
      </c>
      <c r="N38" s="18">
        <v>14661</v>
      </c>
      <c r="O38" s="18">
        <v>3030</v>
      </c>
      <c r="P38" s="18">
        <v>11631</v>
      </c>
      <c r="Q38" s="17">
        <v>100</v>
      </c>
      <c r="R38" s="17">
        <v>20.7</v>
      </c>
      <c r="S38" s="17">
        <v>79.3</v>
      </c>
    </row>
    <row r="39" spans="1:19" s="7" customFormat="1" ht="18" customHeight="1" x14ac:dyDescent="0.25">
      <c r="A39" s="16" t="s">
        <v>37</v>
      </c>
      <c r="B39" s="14"/>
      <c r="C39" s="14"/>
      <c r="D39" s="14"/>
      <c r="E39" s="15"/>
      <c r="F39" s="15"/>
      <c r="G39" s="15"/>
      <c r="H39" s="14" t="s">
        <v>36</v>
      </c>
      <c r="I39" s="14"/>
      <c r="J39" s="14" t="s">
        <v>36</v>
      </c>
      <c r="K39" s="14"/>
      <c r="L39" s="14"/>
      <c r="M39" s="14"/>
    </row>
    <row r="40" spans="1:19" s="7" customFormat="1" ht="18" customHeight="1" x14ac:dyDescent="0.25">
      <c r="A40" s="13" t="s">
        <v>35</v>
      </c>
      <c r="B40" s="11"/>
      <c r="C40" s="11"/>
      <c r="D40" s="11"/>
      <c r="E40" s="12"/>
      <c r="F40" s="12"/>
      <c r="G40" s="12"/>
      <c r="H40" s="11"/>
      <c r="I40" s="11"/>
      <c r="J40" s="11"/>
      <c r="K40" s="11"/>
      <c r="L40" s="11"/>
      <c r="M40" s="11"/>
    </row>
    <row r="41" spans="1:19" s="7" customFormat="1" ht="18" customHeight="1" x14ac:dyDescent="0.25">
      <c r="A41" s="10" t="s">
        <v>34</v>
      </c>
      <c r="B41" s="8"/>
      <c r="C41" s="8"/>
      <c r="D41" s="8"/>
      <c r="E41" s="8"/>
      <c r="F41" s="8"/>
      <c r="G41" s="8"/>
      <c r="H41" s="8"/>
      <c r="I41" s="8"/>
      <c r="J41" s="8"/>
      <c r="K41" s="8"/>
      <c r="L41" s="8"/>
      <c r="M41" s="8"/>
    </row>
    <row r="42" spans="1:19" s="7" customFormat="1" ht="18" customHeight="1" x14ac:dyDescent="0.25">
      <c r="A42" s="9" t="s">
        <v>33</v>
      </c>
      <c r="B42" s="9"/>
      <c r="C42" s="8"/>
      <c r="D42" s="8"/>
      <c r="E42" s="8"/>
      <c r="F42" s="8"/>
      <c r="G42" s="8"/>
      <c r="H42" s="8"/>
      <c r="I42" s="8"/>
      <c r="J42" s="8"/>
      <c r="K42" s="8"/>
      <c r="L42" s="8"/>
      <c r="M42" s="8"/>
    </row>
    <row r="43" spans="1:19" x14ac:dyDescent="0.25">
      <c r="B43" s="6"/>
    </row>
    <row r="44" spans="1:19" x14ac:dyDescent="0.25">
      <c r="B44" s="6"/>
    </row>
    <row r="46" spans="1:19" x14ac:dyDescent="0.25">
      <c r="B46" s="5"/>
      <c r="C46" s="5"/>
      <c r="D46" s="5"/>
      <c r="E46" s="5"/>
      <c r="F46" s="5"/>
      <c r="G46" s="5"/>
    </row>
  </sheetData>
  <mergeCells count="7">
    <mergeCell ref="A5:A6"/>
    <mergeCell ref="Q5:S6"/>
    <mergeCell ref="B6:G6"/>
    <mergeCell ref="N6:P6"/>
    <mergeCell ref="B5:G5"/>
    <mergeCell ref="H5:M6"/>
    <mergeCell ref="N5:P5"/>
  </mergeCells>
  <printOptions horizontalCentered="1"/>
  <pageMargins left="0.2" right="0.2" top="0.2" bottom="0.2" header="0.3" footer="0.3"/>
  <pageSetup paperSize="5" scale="75" fitToWidth="0"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2"/>
  <sheetViews>
    <sheetView zoomScaleNormal="100" workbookViewId="0">
      <selection activeCell="A5" sqref="A5:A6"/>
    </sheetView>
  </sheetViews>
  <sheetFormatPr defaultRowHeight="15.75" x14ac:dyDescent="0.25"/>
  <cols>
    <col min="1" max="1" width="46.140625" style="3" customWidth="1"/>
    <col min="2" max="2" width="11.140625" style="3" customWidth="1"/>
    <col min="3" max="3" width="11" style="3" customWidth="1"/>
    <col min="4" max="4" width="11.140625" style="3" customWidth="1"/>
    <col min="5" max="5" width="10.42578125" style="3" customWidth="1"/>
    <col min="6" max="6" width="9.28515625" style="3" customWidth="1"/>
    <col min="7" max="7" width="10" style="3" customWidth="1"/>
    <col min="8" max="8" width="11" style="4" customWidth="1"/>
    <col min="9" max="9" width="7.140625" style="4" customWidth="1"/>
    <col min="10" max="10" width="10.7109375" style="4" customWidth="1"/>
    <col min="11" max="11" width="11.28515625" style="4" customWidth="1"/>
    <col min="12" max="12" width="8" style="4" customWidth="1"/>
    <col min="13" max="13" width="9.28515625" style="4" customWidth="1"/>
    <col min="14" max="14" width="19.140625" style="3" customWidth="1"/>
    <col min="15" max="16" width="10.140625" style="3" bestFit="1" customWidth="1"/>
    <col min="17" max="256" width="11.42578125" style="3" customWidth="1"/>
    <col min="257" max="16384" width="9.140625" style="3"/>
  </cols>
  <sheetData>
    <row r="1" spans="1:19" s="34" customFormat="1" ht="18.75" x14ac:dyDescent="0.3">
      <c r="A1" s="41" t="s">
        <v>86</v>
      </c>
      <c r="B1" s="40"/>
      <c r="C1" s="40"/>
      <c r="D1" s="40"/>
      <c r="E1" s="40"/>
      <c r="F1" s="40"/>
      <c r="G1" s="40"/>
      <c r="H1" s="40"/>
      <c r="I1" s="40"/>
      <c r="J1" s="40"/>
      <c r="K1" s="40"/>
      <c r="L1" s="40"/>
      <c r="M1" s="40"/>
      <c r="N1" s="40"/>
      <c r="O1" s="40"/>
      <c r="P1" s="40"/>
      <c r="Q1" s="40"/>
      <c r="R1" s="40"/>
      <c r="S1" s="40"/>
    </row>
    <row r="2" spans="1:19" s="34" customFormat="1" ht="18.75" x14ac:dyDescent="0.3">
      <c r="A2" s="48" t="s">
        <v>81</v>
      </c>
    </row>
    <row r="3" spans="1:19" s="34" customFormat="1" ht="18.75" x14ac:dyDescent="0.3">
      <c r="A3" s="36" t="s">
        <v>85</v>
      </c>
    </row>
    <row r="4" spans="1:19" s="34" customFormat="1" ht="18.75" x14ac:dyDescent="0.3">
      <c r="A4" s="36" t="s">
        <v>79</v>
      </c>
      <c r="B4" s="35"/>
      <c r="C4" s="35"/>
      <c r="D4" s="35"/>
      <c r="E4" s="35"/>
      <c r="F4" s="35"/>
      <c r="G4" s="35"/>
      <c r="H4" s="35" t="s">
        <v>36</v>
      </c>
      <c r="I4" s="35"/>
      <c r="J4" s="35"/>
      <c r="K4" s="35"/>
      <c r="L4" s="35"/>
      <c r="M4" s="35"/>
    </row>
    <row r="5" spans="1:19" s="34" customFormat="1" ht="15.75" customHeight="1" x14ac:dyDescent="0.25">
      <c r="A5" s="110" t="s">
        <v>36</v>
      </c>
      <c r="B5" s="109" t="s">
        <v>84</v>
      </c>
      <c r="C5" s="109"/>
      <c r="D5" s="109"/>
      <c r="E5" s="109"/>
      <c r="F5" s="109"/>
      <c r="G5" s="109"/>
      <c r="H5" s="107" t="s">
        <v>77</v>
      </c>
      <c r="I5" s="107"/>
      <c r="J5" s="107"/>
      <c r="K5" s="107"/>
      <c r="L5" s="107"/>
      <c r="M5" s="107"/>
      <c r="N5" s="109" t="s">
        <v>84</v>
      </c>
      <c r="O5" s="109"/>
      <c r="P5" s="109"/>
      <c r="Q5" s="107" t="s">
        <v>77</v>
      </c>
      <c r="R5" s="107"/>
      <c r="S5" s="107"/>
    </row>
    <row r="6" spans="1:19" s="34" customFormat="1" x14ac:dyDescent="0.25">
      <c r="A6" s="111"/>
      <c r="B6" s="109" t="s">
        <v>9</v>
      </c>
      <c r="C6" s="109"/>
      <c r="D6" s="109"/>
      <c r="E6" s="109"/>
      <c r="F6" s="109"/>
      <c r="G6" s="109"/>
      <c r="H6" s="108"/>
      <c r="I6" s="108"/>
      <c r="J6" s="108"/>
      <c r="K6" s="108"/>
      <c r="L6" s="108"/>
      <c r="M6" s="108"/>
      <c r="N6" s="109" t="s">
        <v>76</v>
      </c>
      <c r="O6" s="109"/>
      <c r="P6" s="109"/>
      <c r="Q6" s="108"/>
      <c r="R6" s="108"/>
      <c r="S6" s="108"/>
    </row>
    <row r="7" spans="1:19" s="28" customFormat="1" ht="78.75" customHeight="1" x14ac:dyDescent="0.25">
      <c r="A7" s="47" t="s">
        <v>75</v>
      </c>
      <c r="B7" s="30" t="s">
        <v>31</v>
      </c>
      <c r="C7" s="30" t="s">
        <v>2</v>
      </c>
      <c r="D7" s="29" t="s">
        <v>74</v>
      </c>
      <c r="E7" s="29" t="s">
        <v>73</v>
      </c>
      <c r="F7" s="30" t="s">
        <v>6</v>
      </c>
      <c r="G7" s="29" t="s">
        <v>72</v>
      </c>
      <c r="H7" s="30" t="s">
        <v>31</v>
      </c>
      <c r="I7" s="30" t="s">
        <v>2</v>
      </c>
      <c r="J7" s="29" t="s">
        <v>74</v>
      </c>
      <c r="K7" s="29" t="s">
        <v>73</v>
      </c>
      <c r="L7" s="30" t="s">
        <v>6</v>
      </c>
      <c r="M7" s="29" t="s">
        <v>72</v>
      </c>
      <c r="N7" s="32" t="s">
        <v>71</v>
      </c>
      <c r="O7" s="31" t="s">
        <v>70</v>
      </c>
      <c r="P7" s="31" t="s">
        <v>69</v>
      </c>
      <c r="Q7" s="30" t="s">
        <v>31</v>
      </c>
      <c r="R7" s="29" t="s">
        <v>70</v>
      </c>
      <c r="S7" s="29" t="s">
        <v>69</v>
      </c>
    </row>
    <row r="8" spans="1:19" s="25" customFormat="1" ht="31.5" customHeight="1" x14ac:dyDescent="0.25">
      <c r="A8" s="25" t="s">
        <v>68</v>
      </c>
      <c r="B8" s="27">
        <v>7167658</v>
      </c>
      <c r="C8" s="27">
        <v>4983627</v>
      </c>
      <c r="D8" s="27">
        <v>1925785</v>
      </c>
      <c r="E8" s="27">
        <v>154084</v>
      </c>
      <c r="F8" s="27">
        <v>86897</v>
      </c>
      <c r="G8" s="27">
        <v>17265</v>
      </c>
      <c r="H8" s="26">
        <v>100</v>
      </c>
      <c r="I8" s="26">
        <v>69.5</v>
      </c>
      <c r="J8" s="26">
        <v>26.9</v>
      </c>
      <c r="K8" s="26">
        <v>2.1</v>
      </c>
      <c r="L8" s="26">
        <v>1.2</v>
      </c>
      <c r="M8" s="26">
        <v>0.2</v>
      </c>
      <c r="N8" s="27">
        <v>5901430</v>
      </c>
      <c r="O8" s="27">
        <v>1091127</v>
      </c>
      <c r="P8" s="27">
        <v>4810303</v>
      </c>
      <c r="Q8" s="26">
        <v>100</v>
      </c>
      <c r="R8" s="26">
        <v>18.5</v>
      </c>
      <c r="S8" s="26">
        <v>81.5</v>
      </c>
    </row>
    <row r="9" spans="1:19" ht="31.5" customHeight="1" x14ac:dyDescent="0.25">
      <c r="A9" s="3" t="s">
        <v>67</v>
      </c>
      <c r="B9" s="6">
        <v>8264</v>
      </c>
      <c r="C9" s="46">
        <v>3673</v>
      </c>
      <c r="D9" s="46">
        <v>4377</v>
      </c>
      <c r="E9" s="46">
        <v>99</v>
      </c>
      <c r="F9" s="46">
        <v>91</v>
      </c>
      <c r="G9" s="20">
        <v>24</v>
      </c>
      <c r="H9" s="19">
        <v>100</v>
      </c>
      <c r="I9" s="19">
        <v>44.4</v>
      </c>
      <c r="J9" s="19">
        <v>53</v>
      </c>
      <c r="K9" s="19">
        <v>1.2</v>
      </c>
      <c r="L9" s="19">
        <v>1.1000000000000001</v>
      </c>
      <c r="M9" s="19">
        <v>0.3</v>
      </c>
      <c r="N9" s="22">
        <v>6515</v>
      </c>
      <c r="O9" s="22">
        <v>1323</v>
      </c>
      <c r="P9" s="22">
        <v>5192</v>
      </c>
      <c r="Q9" s="19">
        <v>100</v>
      </c>
      <c r="R9" s="19">
        <v>20.3</v>
      </c>
      <c r="S9" s="19">
        <v>79.7</v>
      </c>
    </row>
    <row r="10" spans="1:19" ht="21.75" customHeight="1" x14ac:dyDescent="0.25">
      <c r="A10" s="24" t="s">
        <v>66</v>
      </c>
      <c r="B10" s="6">
        <v>15706</v>
      </c>
      <c r="C10" s="46">
        <v>10677</v>
      </c>
      <c r="D10" s="46">
        <v>4492</v>
      </c>
      <c r="E10" s="46">
        <v>234</v>
      </c>
      <c r="F10" s="46">
        <v>259</v>
      </c>
      <c r="G10" s="20">
        <v>44</v>
      </c>
      <c r="H10" s="19">
        <v>100</v>
      </c>
      <c r="I10" s="19">
        <v>68</v>
      </c>
      <c r="J10" s="19">
        <v>28.6</v>
      </c>
      <c r="K10" s="19">
        <v>1.5</v>
      </c>
      <c r="L10" s="19">
        <v>1.6</v>
      </c>
      <c r="M10" s="19">
        <v>0.3</v>
      </c>
      <c r="N10" s="22">
        <v>12846</v>
      </c>
      <c r="O10" s="22">
        <v>3544</v>
      </c>
      <c r="P10" s="22">
        <v>9302</v>
      </c>
      <c r="Q10" s="19">
        <v>100</v>
      </c>
      <c r="R10" s="19">
        <v>27.6</v>
      </c>
      <c r="S10" s="19">
        <v>72.400000000000006</v>
      </c>
    </row>
    <row r="11" spans="1:19" ht="15.75" customHeight="1" x14ac:dyDescent="0.25">
      <c r="A11" s="3" t="s">
        <v>65</v>
      </c>
      <c r="B11" s="6">
        <v>53707</v>
      </c>
      <c r="C11" s="46">
        <v>24602</v>
      </c>
      <c r="D11" s="46">
        <v>27789</v>
      </c>
      <c r="E11" s="46">
        <v>604</v>
      </c>
      <c r="F11" s="46">
        <v>516</v>
      </c>
      <c r="G11" s="20">
        <v>196</v>
      </c>
      <c r="H11" s="19">
        <v>100</v>
      </c>
      <c r="I11" s="19">
        <v>45.8</v>
      </c>
      <c r="J11" s="19">
        <v>51.7</v>
      </c>
      <c r="K11" s="19">
        <v>1.1000000000000001</v>
      </c>
      <c r="L11" s="19">
        <v>1</v>
      </c>
      <c r="M11" s="19">
        <v>0.4</v>
      </c>
      <c r="N11" s="22">
        <v>45786</v>
      </c>
      <c r="O11" s="22">
        <v>10021</v>
      </c>
      <c r="P11" s="22">
        <v>35765</v>
      </c>
      <c r="Q11" s="19">
        <v>100</v>
      </c>
      <c r="R11" s="19">
        <v>21.9</v>
      </c>
      <c r="S11" s="19">
        <v>78.099999999999994</v>
      </c>
    </row>
    <row r="12" spans="1:19" ht="15.75" customHeight="1" x14ac:dyDescent="0.25">
      <c r="A12" s="3" t="s">
        <v>64</v>
      </c>
      <c r="B12" s="6">
        <v>277097</v>
      </c>
      <c r="C12" s="46">
        <v>172900</v>
      </c>
      <c r="D12" s="46">
        <v>91786</v>
      </c>
      <c r="E12" s="46">
        <v>6368</v>
      </c>
      <c r="F12" s="46">
        <v>4810</v>
      </c>
      <c r="G12" s="20">
        <v>1233</v>
      </c>
      <c r="H12" s="19">
        <v>100</v>
      </c>
      <c r="I12" s="19">
        <v>62.4</v>
      </c>
      <c r="J12" s="19">
        <v>33.1</v>
      </c>
      <c r="K12" s="19">
        <v>2.2999999999999998</v>
      </c>
      <c r="L12" s="19">
        <v>1.7</v>
      </c>
      <c r="M12" s="19">
        <v>0.4</v>
      </c>
      <c r="N12" s="22">
        <v>236975</v>
      </c>
      <c r="O12" s="22">
        <v>60172</v>
      </c>
      <c r="P12" s="22">
        <v>176803</v>
      </c>
      <c r="Q12" s="19">
        <v>100</v>
      </c>
      <c r="R12" s="19">
        <v>25.4</v>
      </c>
      <c r="S12" s="19">
        <v>74.599999999999994</v>
      </c>
    </row>
    <row r="13" spans="1:19" ht="15.75" customHeight="1" x14ac:dyDescent="0.25">
      <c r="A13" s="3" t="s">
        <v>63</v>
      </c>
      <c r="B13" s="6">
        <v>117843</v>
      </c>
      <c r="C13" s="46">
        <v>82398</v>
      </c>
      <c r="D13" s="46">
        <v>32588</v>
      </c>
      <c r="E13" s="46">
        <v>1310</v>
      </c>
      <c r="F13" s="46">
        <v>1267</v>
      </c>
      <c r="G13" s="20">
        <v>280</v>
      </c>
      <c r="H13" s="19">
        <v>100</v>
      </c>
      <c r="I13" s="19">
        <v>69.900000000000006</v>
      </c>
      <c r="J13" s="19">
        <v>27.7</v>
      </c>
      <c r="K13" s="19">
        <v>1.1000000000000001</v>
      </c>
      <c r="L13" s="19">
        <v>1.1000000000000001</v>
      </c>
      <c r="M13" s="19">
        <v>0.2</v>
      </c>
      <c r="N13" s="22">
        <v>100704</v>
      </c>
      <c r="O13" s="22">
        <v>19914</v>
      </c>
      <c r="P13" s="22">
        <v>80790</v>
      </c>
      <c r="Q13" s="19">
        <v>100</v>
      </c>
      <c r="R13" s="19">
        <v>19.8</v>
      </c>
      <c r="S13" s="19">
        <v>80.2</v>
      </c>
    </row>
    <row r="14" spans="1:19" ht="15.75" customHeight="1" x14ac:dyDescent="0.25">
      <c r="A14" s="3" t="s">
        <v>62</v>
      </c>
      <c r="B14" s="6">
        <v>600408</v>
      </c>
      <c r="C14" s="46">
        <v>409000</v>
      </c>
      <c r="D14" s="46">
        <v>173055</v>
      </c>
      <c r="E14" s="46">
        <v>10844</v>
      </c>
      <c r="F14" s="46">
        <v>6323</v>
      </c>
      <c r="G14" s="20">
        <v>1186</v>
      </c>
      <c r="H14" s="19">
        <v>100</v>
      </c>
      <c r="I14" s="19">
        <v>68.099999999999994</v>
      </c>
      <c r="J14" s="19">
        <v>28.8</v>
      </c>
      <c r="K14" s="19">
        <v>1.8</v>
      </c>
      <c r="L14" s="19">
        <v>1.1000000000000001</v>
      </c>
      <c r="M14" s="19">
        <v>0.2</v>
      </c>
      <c r="N14" s="22">
        <v>484455</v>
      </c>
      <c r="O14" s="22">
        <v>67037</v>
      </c>
      <c r="P14" s="22">
        <v>417418</v>
      </c>
      <c r="Q14" s="19">
        <v>100</v>
      </c>
      <c r="R14" s="19">
        <v>13.8</v>
      </c>
      <c r="S14" s="19">
        <v>86.2</v>
      </c>
    </row>
    <row r="15" spans="1:19" ht="15.75" customHeight="1" x14ac:dyDescent="0.25">
      <c r="A15" s="3" t="s">
        <v>61</v>
      </c>
      <c r="B15" s="6">
        <v>57913</v>
      </c>
      <c r="C15" s="46">
        <v>39536</v>
      </c>
      <c r="D15" s="46">
        <v>16525</v>
      </c>
      <c r="E15" s="46">
        <v>939</v>
      </c>
      <c r="F15" s="46">
        <v>734</v>
      </c>
      <c r="G15" s="20">
        <v>179</v>
      </c>
      <c r="H15" s="19">
        <v>100</v>
      </c>
      <c r="I15" s="19">
        <v>68.3</v>
      </c>
      <c r="J15" s="19">
        <v>28.5</v>
      </c>
      <c r="K15" s="19">
        <v>1.6</v>
      </c>
      <c r="L15" s="19">
        <v>1.3</v>
      </c>
      <c r="M15" s="19">
        <v>0.3</v>
      </c>
      <c r="N15" s="22">
        <v>47591</v>
      </c>
      <c r="O15" s="22">
        <v>12231</v>
      </c>
      <c r="P15" s="22">
        <v>35360</v>
      </c>
      <c r="Q15" s="19">
        <v>100</v>
      </c>
      <c r="R15" s="19">
        <v>25.7</v>
      </c>
      <c r="S15" s="19">
        <v>74.3</v>
      </c>
    </row>
    <row r="16" spans="1:19" ht="15.75" customHeight="1" x14ac:dyDescent="0.25">
      <c r="A16" s="3" t="s">
        <v>60</v>
      </c>
      <c r="B16" s="6">
        <v>5608</v>
      </c>
      <c r="C16" s="46">
        <v>4031</v>
      </c>
      <c r="D16" s="46">
        <v>1356</v>
      </c>
      <c r="E16" s="46">
        <v>111</v>
      </c>
      <c r="F16" s="46">
        <v>84</v>
      </c>
      <c r="G16" s="20">
        <v>26</v>
      </c>
      <c r="H16" s="19">
        <v>100</v>
      </c>
      <c r="I16" s="19">
        <v>71.900000000000006</v>
      </c>
      <c r="J16" s="19">
        <v>24.2</v>
      </c>
      <c r="K16" s="19">
        <v>2</v>
      </c>
      <c r="L16" s="19">
        <v>1.5</v>
      </c>
      <c r="M16" s="19">
        <v>0.5</v>
      </c>
      <c r="N16" s="22">
        <v>4680</v>
      </c>
      <c r="O16" s="22">
        <v>861</v>
      </c>
      <c r="P16" s="22">
        <v>3819</v>
      </c>
      <c r="Q16" s="19">
        <v>100</v>
      </c>
      <c r="R16" s="19">
        <v>18.399999999999999</v>
      </c>
      <c r="S16" s="19">
        <v>81.599999999999994</v>
      </c>
    </row>
    <row r="17" spans="1:19" ht="18.75" x14ac:dyDescent="0.25">
      <c r="A17" s="23" t="s">
        <v>59</v>
      </c>
      <c r="B17" s="6">
        <v>354774</v>
      </c>
      <c r="C17" s="6">
        <v>211852</v>
      </c>
      <c r="D17" s="6">
        <v>128444</v>
      </c>
      <c r="E17" s="6">
        <v>7305</v>
      </c>
      <c r="F17" s="6">
        <v>5676</v>
      </c>
      <c r="G17" s="6">
        <v>1497</v>
      </c>
      <c r="H17" s="19">
        <v>100</v>
      </c>
      <c r="I17" s="19">
        <v>59.7</v>
      </c>
      <c r="J17" s="19">
        <v>36.200000000000003</v>
      </c>
      <c r="K17" s="19">
        <v>2.1</v>
      </c>
      <c r="L17" s="19">
        <v>1.6</v>
      </c>
      <c r="M17" s="19">
        <v>0.4</v>
      </c>
      <c r="N17" s="6">
        <v>302122</v>
      </c>
      <c r="O17" s="6">
        <v>75060</v>
      </c>
      <c r="P17" s="6">
        <v>227062</v>
      </c>
      <c r="Q17" s="19">
        <v>100</v>
      </c>
      <c r="R17" s="19">
        <v>24.8</v>
      </c>
      <c r="S17" s="19">
        <v>75.2</v>
      </c>
    </row>
    <row r="18" spans="1:19" ht="18.75" x14ac:dyDescent="0.25">
      <c r="A18" s="23" t="s">
        <v>58</v>
      </c>
      <c r="B18" s="6">
        <v>781772</v>
      </c>
      <c r="C18" s="6">
        <v>534965</v>
      </c>
      <c r="D18" s="6">
        <v>223524</v>
      </c>
      <c r="E18" s="6">
        <v>13204</v>
      </c>
      <c r="F18" s="6">
        <v>8408</v>
      </c>
      <c r="G18" s="6">
        <v>1671</v>
      </c>
      <c r="H18" s="19">
        <v>100</v>
      </c>
      <c r="I18" s="19">
        <v>68.400000000000006</v>
      </c>
      <c r="J18" s="19">
        <v>28.6</v>
      </c>
      <c r="K18" s="19">
        <v>1.7</v>
      </c>
      <c r="L18" s="19">
        <v>1.1000000000000001</v>
      </c>
      <c r="M18" s="19">
        <v>0.2</v>
      </c>
      <c r="N18" s="6">
        <v>637430</v>
      </c>
      <c r="O18" s="6">
        <v>100043</v>
      </c>
      <c r="P18" s="6">
        <v>537387</v>
      </c>
      <c r="Q18" s="19">
        <v>100</v>
      </c>
      <c r="R18" s="19">
        <v>15.7</v>
      </c>
      <c r="S18" s="19">
        <v>84.3</v>
      </c>
    </row>
    <row r="19" spans="1:19" ht="15.75" customHeight="1" x14ac:dyDescent="0.25">
      <c r="A19" s="3" t="s">
        <v>57</v>
      </c>
      <c r="B19" s="6">
        <v>701782</v>
      </c>
      <c r="C19" s="46">
        <v>457339</v>
      </c>
      <c r="D19" s="46">
        <v>218686</v>
      </c>
      <c r="E19" s="46">
        <v>14165</v>
      </c>
      <c r="F19" s="46">
        <v>9516</v>
      </c>
      <c r="G19" s="20">
        <v>2076</v>
      </c>
      <c r="H19" s="19">
        <v>100</v>
      </c>
      <c r="I19" s="19">
        <v>65.2</v>
      </c>
      <c r="J19" s="19">
        <v>31.2</v>
      </c>
      <c r="K19" s="19">
        <v>2</v>
      </c>
      <c r="L19" s="19">
        <v>1.4</v>
      </c>
      <c r="M19" s="19">
        <v>0.3</v>
      </c>
      <c r="N19" s="22">
        <v>576354</v>
      </c>
      <c r="O19" s="22">
        <v>107392</v>
      </c>
      <c r="P19" s="22">
        <v>468962</v>
      </c>
      <c r="Q19" s="19">
        <v>100</v>
      </c>
      <c r="R19" s="19">
        <v>18.600000000000001</v>
      </c>
      <c r="S19" s="19">
        <v>81.400000000000006</v>
      </c>
    </row>
    <row r="20" spans="1:19" ht="15.75" customHeight="1" x14ac:dyDescent="0.25">
      <c r="A20" s="3" t="s">
        <v>56</v>
      </c>
      <c r="B20" s="6">
        <v>36945</v>
      </c>
      <c r="C20" s="46">
        <v>24695</v>
      </c>
      <c r="D20" s="46">
        <v>11323</v>
      </c>
      <c r="E20" s="46">
        <v>329</v>
      </c>
      <c r="F20" s="46">
        <v>537</v>
      </c>
      <c r="G20" s="20">
        <v>61</v>
      </c>
      <c r="H20" s="19">
        <v>100</v>
      </c>
      <c r="I20" s="19">
        <v>66.8</v>
      </c>
      <c r="J20" s="19">
        <v>30.6</v>
      </c>
      <c r="K20" s="19">
        <v>0.9</v>
      </c>
      <c r="L20" s="19">
        <v>1.5</v>
      </c>
      <c r="M20" s="19">
        <v>0.2</v>
      </c>
      <c r="N20" s="22">
        <v>30935</v>
      </c>
      <c r="O20" s="22">
        <v>5170</v>
      </c>
      <c r="P20" s="22">
        <v>25765</v>
      </c>
      <c r="Q20" s="19">
        <v>100</v>
      </c>
      <c r="R20" s="19">
        <v>16.7</v>
      </c>
      <c r="S20" s="19">
        <v>83.3</v>
      </c>
    </row>
    <row r="21" spans="1:19" ht="15.75" customHeight="1" x14ac:dyDescent="0.25">
      <c r="A21" s="3" t="s">
        <v>55</v>
      </c>
      <c r="B21" s="6">
        <v>86111</v>
      </c>
      <c r="C21" s="46">
        <v>57125</v>
      </c>
      <c r="D21" s="46">
        <v>26443</v>
      </c>
      <c r="E21" s="46">
        <v>1352</v>
      </c>
      <c r="F21" s="46">
        <v>1052</v>
      </c>
      <c r="G21" s="20">
        <v>139</v>
      </c>
      <c r="H21" s="19">
        <v>100</v>
      </c>
      <c r="I21" s="19">
        <v>66.3</v>
      </c>
      <c r="J21" s="19">
        <v>30.7</v>
      </c>
      <c r="K21" s="19">
        <v>1.6</v>
      </c>
      <c r="L21" s="19">
        <v>1.2</v>
      </c>
      <c r="M21" s="19">
        <v>0.2</v>
      </c>
      <c r="N21" s="22">
        <v>71474</v>
      </c>
      <c r="O21" s="22">
        <v>9203</v>
      </c>
      <c r="P21" s="22">
        <v>62271</v>
      </c>
      <c r="Q21" s="19">
        <v>100</v>
      </c>
      <c r="R21" s="19">
        <v>12.9</v>
      </c>
      <c r="S21" s="19">
        <v>87.1</v>
      </c>
    </row>
    <row r="22" spans="1:19" ht="15.75" customHeight="1" x14ac:dyDescent="0.25">
      <c r="A22" s="3" t="s">
        <v>54</v>
      </c>
      <c r="B22" s="6">
        <v>10739</v>
      </c>
      <c r="C22" s="46">
        <v>6694</v>
      </c>
      <c r="D22" s="46">
        <v>3767</v>
      </c>
      <c r="E22" s="46">
        <v>118</v>
      </c>
      <c r="F22" s="46">
        <v>147</v>
      </c>
      <c r="G22" s="20">
        <v>13</v>
      </c>
      <c r="H22" s="19">
        <v>100</v>
      </c>
      <c r="I22" s="19">
        <v>62.3</v>
      </c>
      <c r="J22" s="19">
        <v>35.1</v>
      </c>
      <c r="K22" s="19">
        <v>1.1000000000000001</v>
      </c>
      <c r="L22" s="19">
        <v>1.4</v>
      </c>
      <c r="M22" s="19">
        <v>0.1</v>
      </c>
      <c r="N22" s="22">
        <v>8878</v>
      </c>
      <c r="O22" s="22">
        <v>1119</v>
      </c>
      <c r="P22" s="22">
        <v>7759</v>
      </c>
      <c r="Q22" s="19">
        <v>100</v>
      </c>
      <c r="R22" s="19">
        <v>12.6</v>
      </c>
      <c r="S22" s="19">
        <v>87.4</v>
      </c>
    </row>
    <row r="23" spans="1:19" ht="15.75" customHeight="1" x14ac:dyDescent="0.25">
      <c r="A23" s="3" t="s">
        <v>53</v>
      </c>
      <c r="B23" s="6">
        <v>62938</v>
      </c>
      <c r="C23" s="46">
        <v>41581</v>
      </c>
      <c r="D23" s="46">
        <v>19538</v>
      </c>
      <c r="E23" s="46">
        <v>805</v>
      </c>
      <c r="F23" s="46">
        <v>724</v>
      </c>
      <c r="G23" s="20">
        <v>290</v>
      </c>
      <c r="H23" s="19">
        <v>100</v>
      </c>
      <c r="I23" s="19">
        <v>66.099999999999994</v>
      </c>
      <c r="J23" s="19">
        <v>31</v>
      </c>
      <c r="K23" s="19">
        <v>1.3</v>
      </c>
      <c r="L23" s="19">
        <v>1.2</v>
      </c>
      <c r="M23" s="19">
        <v>0.5</v>
      </c>
      <c r="N23" s="22">
        <v>51670</v>
      </c>
      <c r="O23" s="22">
        <v>10056</v>
      </c>
      <c r="P23" s="22">
        <v>41614</v>
      </c>
      <c r="Q23" s="19">
        <v>100</v>
      </c>
      <c r="R23" s="19">
        <v>19.5</v>
      </c>
      <c r="S23" s="19">
        <v>80.5</v>
      </c>
    </row>
    <row r="24" spans="1:19" ht="15.75" customHeight="1" x14ac:dyDescent="0.25">
      <c r="A24" s="3" t="s">
        <v>52</v>
      </c>
      <c r="B24" s="6">
        <v>112041</v>
      </c>
      <c r="C24" s="46">
        <v>75758</v>
      </c>
      <c r="D24" s="46">
        <v>32275</v>
      </c>
      <c r="E24" s="46">
        <v>2453</v>
      </c>
      <c r="F24" s="46">
        <v>1355</v>
      </c>
      <c r="G24" s="20">
        <v>200</v>
      </c>
      <c r="H24" s="19">
        <v>100</v>
      </c>
      <c r="I24" s="19">
        <v>67.599999999999994</v>
      </c>
      <c r="J24" s="19">
        <v>28.8</v>
      </c>
      <c r="K24" s="19">
        <v>2.2000000000000002</v>
      </c>
      <c r="L24" s="19">
        <v>1.2</v>
      </c>
      <c r="M24" s="19">
        <v>0.2</v>
      </c>
      <c r="N24" s="22">
        <v>93355</v>
      </c>
      <c r="O24" s="22">
        <v>17526</v>
      </c>
      <c r="P24" s="22">
        <v>75829</v>
      </c>
      <c r="Q24" s="19">
        <v>100</v>
      </c>
      <c r="R24" s="19">
        <v>18.8</v>
      </c>
      <c r="S24" s="19">
        <v>81.2</v>
      </c>
    </row>
    <row r="25" spans="1:19" ht="15.75" customHeight="1" x14ac:dyDescent="0.25">
      <c r="A25" s="3" t="s">
        <v>51</v>
      </c>
      <c r="B25" s="6">
        <v>113492</v>
      </c>
      <c r="C25" s="46">
        <v>61773</v>
      </c>
      <c r="D25" s="46">
        <v>49214</v>
      </c>
      <c r="E25" s="46">
        <v>960</v>
      </c>
      <c r="F25" s="46">
        <v>1206</v>
      </c>
      <c r="G25" s="20">
        <v>339</v>
      </c>
      <c r="H25" s="19">
        <v>100</v>
      </c>
      <c r="I25" s="19">
        <v>54.4</v>
      </c>
      <c r="J25" s="19">
        <v>43.4</v>
      </c>
      <c r="K25" s="19">
        <v>0.8</v>
      </c>
      <c r="L25" s="19">
        <v>1.1000000000000001</v>
      </c>
      <c r="M25" s="19">
        <v>0.3</v>
      </c>
      <c r="N25" s="22">
        <v>89816</v>
      </c>
      <c r="O25" s="22">
        <v>20378</v>
      </c>
      <c r="P25" s="22">
        <v>69438</v>
      </c>
      <c r="Q25" s="19">
        <v>100</v>
      </c>
      <c r="R25" s="19">
        <v>22.7</v>
      </c>
      <c r="S25" s="19">
        <v>77.3</v>
      </c>
    </row>
    <row r="26" spans="1:19" ht="15.75" customHeight="1" x14ac:dyDescent="0.25">
      <c r="A26" s="3" t="s">
        <v>50</v>
      </c>
      <c r="B26" s="6">
        <v>23303</v>
      </c>
      <c r="C26" s="46">
        <v>12810</v>
      </c>
      <c r="D26" s="46">
        <v>9034</v>
      </c>
      <c r="E26" s="46">
        <v>92</v>
      </c>
      <c r="F26" s="46">
        <v>1307</v>
      </c>
      <c r="G26" s="20">
        <v>60</v>
      </c>
      <c r="H26" s="19">
        <v>100</v>
      </c>
      <c r="I26" s="19">
        <v>55</v>
      </c>
      <c r="J26" s="19">
        <v>38.799999999999997</v>
      </c>
      <c r="K26" s="19">
        <v>0.4</v>
      </c>
      <c r="L26" s="19">
        <v>5.6</v>
      </c>
      <c r="M26" s="19">
        <v>0.3</v>
      </c>
      <c r="N26" s="22">
        <v>21307</v>
      </c>
      <c r="O26" s="22">
        <v>4344</v>
      </c>
      <c r="P26" s="22">
        <v>16963</v>
      </c>
      <c r="Q26" s="19">
        <v>100</v>
      </c>
      <c r="R26" s="19">
        <v>20.399999999999999</v>
      </c>
      <c r="S26" s="19">
        <v>79.599999999999994</v>
      </c>
    </row>
    <row r="27" spans="1:19" ht="15.75" customHeight="1" x14ac:dyDescent="0.25">
      <c r="A27" s="3" t="s">
        <v>49</v>
      </c>
      <c r="B27" s="6">
        <v>29572</v>
      </c>
      <c r="C27" s="46">
        <v>21276</v>
      </c>
      <c r="D27" s="46">
        <v>7042</v>
      </c>
      <c r="E27" s="46">
        <v>526</v>
      </c>
      <c r="F27" s="46">
        <v>667</v>
      </c>
      <c r="G27" s="20">
        <v>61</v>
      </c>
      <c r="H27" s="19">
        <v>100</v>
      </c>
      <c r="I27" s="19">
        <v>71.900000000000006</v>
      </c>
      <c r="J27" s="19">
        <v>23.8</v>
      </c>
      <c r="K27" s="19">
        <v>1.8</v>
      </c>
      <c r="L27" s="19">
        <v>2.2999999999999998</v>
      </c>
      <c r="M27" s="19">
        <v>0.2</v>
      </c>
      <c r="N27" s="22">
        <v>24390</v>
      </c>
      <c r="O27" s="22">
        <v>6333</v>
      </c>
      <c r="P27" s="22">
        <v>18057</v>
      </c>
      <c r="Q27" s="19">
        <v>100</v>
      </c>
      <c r="R27" s="19">
        <v>26</v>
      </c>
      <c r="S27" s="19">
        <v>74</v>
      </c>
    </row>
    <row r="28" spans="1:19" ht="15.75" customHeight="1" x14ac:dyDescent="0.25">
      <c r="A28" s="3" t="s">
        <v>48</v>
      </c>
      <c r="B28" s="6">
        <v>1167082</v>
      </c>
      <c r="C28" s="46">
        <v>821984</v>
      </c>
      <c r="D28" s="46">
        <v>317809</v>
      </c>
      <c r="E28" s="46">
        <v>12791</v>
      </c>
      <c r="F28" s="46">
        <v>12443</v>
      </c>
      <c r="G28" s="20">
        <v>2055</v>
      </c>
      <c r="H28" s="19">
        <v>100</v>
      </c>
      <c r="I28" s="19">
        <v>70.400000000000006</v>
      </c>
      <c r="J28" s="19">
        <v>27.2</v>
      </c>
      <c r="K28" s="19">
        <v>1.1000000000000001</v>
      </c>
      <c r="L28" s="19">
        <v>1.1000000000000001</v>
      </c>
      <c r="M28" s="19">
        <v>0.2</v>
      </c>
      <c r="N28" s="22">
        <v>988656</v>
      </c>
      <c r="O28" s="22">
        <v>196319</v>
      </c>
      <c r="P28" s="22">
        <v>792337</v>
      </c>
      <c r="Q28" s="19">
        <v>100</v>
      </c>
      <c r="R28" s="19">
        <v>19.899999999999999</v>
      </c>
      <c r="S28" s="19">
        <v>80.099999999999994</v>
      </c>
    </row>
    <row r="29" spans="1:19" ht="15.75" customHeight="1" x14ac:dyDescent="0.25">
      <c r="A29" s="3" t="s">
        <v>47</v>
      </c>
      <c r="B29" s="6">
        <v>2331</v>
      </c>
      <c r="C29" s="46">
        <v>970</v>
      </c>
      <c r="D29" s="46">
        <v>1095</v>
      </c>
      <c r="E29" s="46">
        <v>10</v>
      </c>
      <c r="F29" s="46">
        <v>205</v>
      </c>
      <c r="G29" s="20">
        <v>51</v>
      </c>
      <c r="H29" s="19">
        <v>100</v>
      </c>
      <c r="I29" s="19">
        <v>41.6</v>
      </c>
      <c r="J29" s="19">
        <v>47</v>
      </c>
      <c r="K29" s="19">
        <v>0.4</v>
      </c>
      <c r="L29" s="19">
        <v>8.8000000000000007</v>
      </c>
      <c r="M29" s="19">
        <v>2.2000000000000002</v>
      </c>
      <c r="N29" s="22">
        <v>1313</v>
      </c>
      <c r="O29" s="22">
        <v>331</v>
      </c>
      <c r="P29" s="22">
        <v>982</v>
      </c>
      <c r="Q29" s="19">
        <v>100</v>
      </c>
      <c r="R29" s="19">
        <v>25.2</v>
      </c>
      <c r="S29" s="19">
        <v>74.8</v>
      </c>
    </row>
    <row r="30" spans="1:19" ht="15.75" customHeight="1" x14ac:dyDescent="0.25">
      <c r="A30" s="3" t="s">
        <v>46</v>
      </c>
      <c r="B30" s="6">
        <v>61910</v>
      </c>
      <c r="C30" s="46">
        <v>41697</v>
      </c>
      <c r="D30" s="46">
        <v>17957</v>
      </c>
      <c r="E30" s="46">
        <v>1714</v>
      </c>
      <c r="F30" s="46">
        <v>492</v>
      </c>
      <c r="G30" s="20">
        <v>50</v>
      </c>
      <c r="H30" s="19">
        <v>100</v>
      </c>
      <c r="I30" s="19">
        <v>67.400000000000006</v>
      </c>
      <c r="J30" s="19">
        <v>29</v>
      </c>
      <c r="K30" s="19">
        <v>2.8</v>
      </c>
      <c r="L30" s="19">
        <v>0.8</v>
      </c>
      <c r="M30" s="19">
        <v>0.1</v>
      </c>
      <c r="N30" s="22">
        <v>49697</v>
      </c>
      <c r="O30" s="22">
        <v>5698</v>
      </c>
      <c r="P30" s="22">
        <v>43999</v>
      </c>
      <c r="Q30" s="19">
        <v>100</v>
      </c>
      <c r="R30" s="19">
        <v>11.5</v>
      </c>
      <c r="S30" s="19">
        <v>88.5</v>
      </c>
    </row>
    <row r="31" spans="1:19" ht="15.75" customHeight="1" x14ac:dyDescent="0.25">
      <c r="A31" s="3" t="s">
        <v>45</v>
      </c>
      <c r="B31" s="6">
        <v>732646</v>
      </c>
      <c r="C31" s="46">
        <v>594407</v>
      </c>
      <c r="D31" s="46">
        <v>108425</v>
      </c>
      <c r="E31" s="46">
        <v>13017</v>
      </c>
      <c r="F31" s="46">
        <v>14259</v>
      </c>
      <c r="G31" s="20">
        <v>2538</v>
      </c>
      <c r="H31" s="19">
        <v>100</v>
      </c>
      <c r="I31" s="19">
        <v>81.099999999999994</v>
      </c>
      <c r="J31" s="19">
        <v>14.8</v>
      </c>
      <c r="K31" s="19">
        <v>1.8</v>
      </c>
      <c r="L31" s="19">
        <v>1.9</v>
      </c>
      <c r="M31" s="19">
        <v>0.3</v>
      </c>
      <c r="N31" s="22">
        <v>600914</v>
      </c>
      <c r="O31" s="22">
        <v>146339</v>
      </c>
      <c r="P31" s="22">
        <v>454575</v>
      </c>
      <c r="Q31" s="19">
        <v>100</v>
      </c>
      <c r="R31" s="19">
        <v>24.4</v>
      </c>
      <c r="S31" s="19">
        <v>75.599999999999994</v>
      </c>
    </row>
    <row r="32" spans="1:19" ht="15.75" customHeight="1" x14ac:dyDescent="0.25">
      <c r="A32" s="3" t="s">
        <v>44</v>
      </c>
      <c r="B32" s="6">
        <v>108923</v>
      </c>
      <c r="C32" s="46">
        <v>83666</v>
      </c>
      <c r="D32" s="46">
        <v>17483</v>
      </c>
      <c r="E32" s="46">
        <v>6014</v>
      </c>
      <c r="F32" s="46">
        <v>1632</v>
      </c>
      <c r="G32" s="20">
        <v>128</v>
      </c>
      <c r="H32" s="19">
        <v>100</v>
      </c>
      <c r="I32" s="19">
        <v>76.8</v>
      </c>
      <c r="J32" s="19">
        <v>16.100000000000001</v>
      </c>
      <c r="K32" s="19">
        <v>5.5</v>
      </c>
      <c r="L32" s="19">
        <v>1.5</v>
      </c>
      <c r="M32" s="19">
        <v>0.1</v>
      </c>
      <c r="N32" s="22">
        <v>86544</v>
      </c>
      <c r="O32" s="22">
        <v>12985</v>
      </c>
      <c r="P32" s="22">
        <v>73559</v>
      </c>
      <c r="Q32" s="19">
        <v>100</v>
      </c>
      <c r="R32" s="19">
        <v>15</v>
      </c>
      <c r="S32" s="19">
        <v>85</v>
      </c>
    </row>
    <row r="33" spans="1:19" ht="15.75" customHeight="1" x14ac:dyDescent="0.25">
      <c r="A33" s="3" t="s">
        <v>43</v>
      </c>
      <c r="B33" s="6">
        <v>249011</v>
      </c>
      <c r="C33" s="46">
        <v>191053</v>
      </c>
      <c r="D33" s="46">
        <v>37465</v>
      </c>
      <c r="E33" s="46">
        <v>17274</v>
      </c>
      <c r="F33" s="46">
        <v>2793</v>
      </c>
      <c r="G33" s="20">
        <v>426</v>
      </c>
      <c r="H33" s="19">
        <v>100</v>
      </c>
      <c r="I33" s="19">
        <v>76.7</v>
      </c>
      <c r="J33" s="19">
        <v>15</v>
      </c>
      <c r="K33" s="19">
        <v>6.9</v>
      </c>
      <c r="L33" s="19">
        <v>1.1000000000000001</v>
      </c>
      <c r="M33" s="19">
        <v>0.2</v>
      </c>
      <c r="N33" s="22">
        <v>231004</v>
      </c>
      <c r="O33" s="22">
        <v>51629</v>
      </c>
      <c r="P33" s="22">
        <v>179375</v>
      </c>
      <c r="Q33" s="19">
        <v>100</v>
      </c>
      <c r="R33" s="19">
        <v>22.3</v>
      </c>
      <c r="S33" s="19">
        <v>77.7</v>
      </c>
    </row>
    <row r="34" spans="1:19" ht="15.75" customHeight="1" x14ac:dyDescent="0.25">
      <c r="A34" s="3" t="s">
        <v>42</v>
      </c>
      <c r="B34" s="6">
        <v>205095</v>
      </c>
      <c r="C34" s="46">
        <v>134516</v>
      </c>
      <c r="D34" s="46">
        <v>59775</v>
      </c>
      <c r="E34" s="46">
        <v>8903</v>
      </c>
      <c r="F34" s="46">
        <v>1640</v>
      </c>
      <c r="G34" s="20">
        <v>261</v>
      </c>
      <c r="H34" s="19">
        <v>100</v>
      </c>
      <c r="I34" s="19">
        <v>65.599999999999994</v>
      </c>
      <c r="J34" s="19">
        <v>29.1</v>
      </c>
      <c r="K34" s="19">
        <v>4.3</v>
      </c>
      <c r="L34" s="19">
        <v>0.8</v>
      </c>
      <c r="M34" s="19">
        <v>0.1</v>
      </c>
      <c r="N34" s="22">
        <v>153731</v>
      </c>
      <c r="O34" s="22">
        <v>18605</v>
      </c>
      <c r="P34" s="22">
        <v>135126</v>
      </c>
      <c r="Q34" s="19">
        <v>100</v>
      </c>
      <c r="R34" s="19">
        <v>12.1</v>
      </c>
      <c r="S34" s="19">
        <v>87.9</v>
      </c>
    </row>
    <row r="35" spans="1:19" ht="15.75" customHeight="1" x14ac:dyDescent="0.25">
      <c r="A35" s="3" t="s">
        <v>41</v>
      </c>
      <c r="B35" s="6">
        <v>17523</v>
      </c>
      <c r="C35" s="46">
        <v>12558</v>
      </c>
      <c r="D35" s="46">
        <v>4212</v>
      </c>
      <c r="E35" s="46">
        <v>474</v>
      </c>
      <c r="F35" s="46">
        <v>257</v>
      </c>
      <c r="G35" s="20">
        <v>22</v>
      </c>
      <c r="H35" s="19">
        <v>100</v>
      </c>
      <c r="I35" s="19">
        <v>71.7</v>
      </c>
      <c r="J35" s="19">
        <v>24</v>
      </c>
      <c r="K35" s="19">
        <v>2.7</v>
      </c>
      <c r="L35" s="19">
        <v>1.5</v>
      </c>
      <c r="M35" s="19">
        <v>0.1</v>
      </c>
      <c r="N35" s="22">
        <v>16255</v>
      </c>
      <c r="O35" s="22">
        <v>2471</v>
      </c>
      <c r="P35" s="22">
        <v>13784</v>
      </c>
      <c r="Q35" s="19">
        <v>100</v>
      </c>
      <c r="R35" s="19">
        <v>15.2</v>
      </c>
      <c r="S35" s="19">
        <v>84.8</v>
      </c>
    </row>
    <row r="36" spans="1:19" ht="15.75" customHeight="1" x14ac:dyDescent="0.25">
      <c r="A36" s="3" t="s">
        <v>40</v>
      </c>
      <c r="B36" s="6">
        <v>2309275</v>
      </c>
      <c r="C36" s="46">
        <v>1596694</v>
      </c>
      <c r="D36" s="46">
        <v>632157</v>
      </c>
      <c r="E36" s="46">
        <v>52517</v>
      </c>
      <c r="F36" s="46">
        <v>22580</v>
      </c>
      <c r="G36" s="20">
        <v>5327</v>
      </c>
      <c r="H36" s="19">
        <v>100</v>
      </c>
      <c r="I36" s="19">
        <v>69.099999999999994</v>
      </c>
      <c r="J36" s="19">
        <v>27.4</v>
      </c>
      <c r="K36" s="19">
        <v>2.2999999999999998</v>
      </c>
      <c r="L36" s="19">
        <v>1</v>
      </c>
      <c r="M36" s="19">
        <v>0.2</v>
      </c>
      <c r="N36" s="22">
        <v>1865220</v>
      </c>
      <c r="O36" s="22">
        <v>300113</v>
      </c>
      <c r="P36" s="22">
        <v>1565107</v>
      </c>
      <c r="Q36" s="19">
        <v>100</v>
      </c>
      <c r="R36" s="19">
        <v>16.100000000000001</v>
      </c>
      <c r="S36" s="19">
        <v>83.9</v>
      </c>
    </row>
    <row r="37" spans="1:19" ht="15.75" customHeight="1" x14ac:dyDescent="0.25">
      <c r="A37" s="3" t="s">
        <v>39</v>
      </c>
      <c r="B37" s="6">
        <v>393</v>
      </c>
      <c r="C37" s="46">
        <v>214</v>
      </c>
      <c r="D37" s="46">
        <v>117</v>
      </c>
      <c r="E37" s="46">
        <v>61</v>
      </c>
      <c r="F37" s="46">
        <v>1</v>
      </c>
      <c r="G37" s="20">
        <v>0</v>
      </c>
      <c r="H37" s="19">
        <v>100</v>
      </c>
      <c r="I37" s="19">
        <v>54.5</v>
      </c>
      <c r="J37" s="19">
        <v>29.8</v>
      </c>
      <c r="K37" s="19">
        <v>15.5</v>
      </c>
      <c r="L37" s="19">
        <v>0.3</v>
      </c>
      <c r="M37" s="19">
        <v>0</v>
      </c>
      <c r="N37" s="22">
        <v>365</v>
      </c>
      <c r="O37" s="22">
        <v>13</v>
      </c>
      <c r="P37" s="22">
        <v>352</v>
      </c>
      <c r="Q37" s="19">
        <v>100</v>
      </c>
      <c r="R37" s="19">
        <v>3.6</v>
      </c>
      <c r="S37" s="19">
        <v>96.4</v>
      </c>
    </row>
    <row r="38" spans="1:19" ht="15.75" customHeight="1" x14ac:dyDescent="0.25">
      <c r="A38" s="45" t="s">
        <v>38</v>
      </c>
      <c r="B38" s="44" t="s">
        <v>83</v>
      </c>
      <c r="C38" s="43" t="s">
        <v>83</v>
      </c>
      <c r="D38" s="43" t="s">
        <v>83</v>
      </c>
      <c r="E38" s="43" t="s">
        <v>83</v>
      </c>
      <c r="F38" s="43" t="s">
        <v>83</v>
      </c>
      <c r="G38" s="43" t="s">
        <v>83</v>
      </c>
      <c r="H38" s="43" t="s">
        <v>83</v>
      </c>
      <c r="I38" s="43" t="s">
        <v>83</v>
      </c>
      <c r="J38" s="43" t="s">
        <v>83</v>
      </c>
      <c r="K38" s="43" t="s">
        <v>83</v>
      </c>
      <c r="L38" s="43" t="s">
        <v>83</v>
      </c>
      <c r="M38" s="43" t="s">
        <v>83</v>
      </c>
      <c r="N38" s="43" t="s">
        <v>83</v>
      </c>
      <c r="O38" s="43" t="s">
        <v>83</v>
      </c>
      <c r="P38" s="43" t="s">
        <v>83</v>
      </c>
      <c r="Q38" s="43" t="s">
        <v>83</v>
      </c>
      <c r="R38" s="43" t="s">
        <v>83</v>
      </c>
      <c r="S38" s="43" t="s">
        <v>83</v>
      </c>
    </row>
    <row r="39" spans="1:19" s="7" customFormat="1" ht="18" customHeight="1" x14ac:dyDescent="0.25">
      <c r="A39" s="13" t="s">
        <v>37</v>
      </c>
      <c r="B39" s="11"/>
      <c r="C39" s="11"/>
      <c r="D39" s="11"/>
      <c r="E39" s="12"/>
      <c r="F39" s="12"/>
      <c r="G39" s="12"/>
      <c r="H39" s="11" t="s">
        <v>36</v>
      </c>
      <c r="I39" s="11"/>
      <c r="J39" s="11" t="s">
        <v>36</v>
      </c>
      <c r="K39" s="11"/>
      <c r="L39" s="11"/>
      <c r="M39" s="11"/>
    </row>
    <row r="40" spans="1:19" s="7" customFormat="1" ht="18" customHeight="1" x14ac:dyDescent="0.25">
      <c r="A40" s="13" t="s">
        <v>35</v>
      </c>
      <c r="B40" s="11"/>
      <c r="C40" s="11"/>
      <c r="D40" s="11"/>
      <c r="E40" s="12"/>
      <c r="F40" s="12"/>
      <c r="G40" s="12"/>
      <c r="H40" s="11"/>
      <c r="I40" s="11"/>
      <c r="J40" s="11"/>
      <c r="K40" s="11"/>
      <c r="L40" s="11"/>
      <c r="M40" s="11"/>
    </row>
    <row r="41" spans="1:19" s="7" customFormat="1" ht="18" customHeight="1" x14ac:dyDescent="0.25">
      <c r="A41" s="10" t="s">
        <v>34</v>
      </c>
      <c r="B41" s="8"/>
      <c r="C41" s="8"/>
      <c r="D41" s="8"/>
      <c r="E41" s="8"/>
      <c r="F41" s="8"/>
      <c r="G41" s="8"/>
      <c r="H41" s="8"/>
      <c r="I41" s="8"/>
      <c r="J41" s="8"/>
      <c r="K41" s="8"/>
      <c r="L41" s="8"/>
      <c r="M41" s="8"/>
      <c r="N41" s="42"/>
      <c r="O41" s="42"/>
      <c r="P41" s="42"/>
      <c r="Q41" s="42"/>
    </row>
    <row r="42" spans="1:19" ht="18" customHeight="1" x14ac:dyDescent="0.25">
      <c r="A42" s="9" t="s">
        <v>33</v>
      </c>
      <c r="B42" s="9"/>
      <c r="C42" s="8"/>
      <c r="D42" s="8"/>
      <c r="E42" s="8"/>
      <c r="F42" s="8"/>
      <c r="G42" s="8"/>
      <c r="H42" s="8"/>
      <c r="I42" s="8"/>
      <c r="J42" s="8"/>
      <c r="K42" s="8"/>
      <c r="L42" s="8"/>
      <c r="M42" s="8"/>
    </row>
  </sheetData>
  <mergeCells count="7">
    <mergeCell ref="A5:A6"/>
    <mergeCell ref="Q5:S6"/>
    <mergeCell ref="N5:P5"/>
    <mergeCell ref="B6:G6"/>
    <mergeCell ref="N6:P6"/>
    <mergeCell ref="B5:G5"/>
    <mergeCell ref="H5:M6"/>
  </mergeCells>
  <printOptions horizontalCentered="1"/>
  <pageMargins left="0.31" right="0.3" top="0.2" bottom="0.2" header="0.5" footer="0.5"/>
  <pageSetup paperSize="5" scale="74" fitToHeight="0"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8"/>
  <sheetViews>
    <sheetView zoomScaleNormal="100" workbookViewId="0">
      <selection activeCell="A5" sqref="A5:A6"/>
    </sheetView>
  </sheetViews>
  <sheetFormatPr defaultRowHeight="15.75" x14ac:dyDescent="0.25"/>
  <cols>
    <col min="1" max="1" width="45.42578125" style="3" customWidth="1"/>
    <col min="2" max="2" width="10.85546875" style="3" customWidth="1"/>
    <col min="3" max="3" width="11.140625" style="3" customWidth="1"/>
    <col min="4" max="4" width="11.42578125" style="3" customWidth="1"/>
    <col min="5" max="5" width="10.42578125" style="3" customWidth="1"/>
    <col min="6" max="7" width="10" style="3" customWidth="1"/>
    <col min="8" max="8" width="11.28515625" style="4" customWidth="1"/>
    <col min="9" max="10" width="10.85546875" style="4" customWidth="1"/>
    <col min="11" max="12" width="9.85546875" style="4" customWidth="1"/>
    <col min="13" max="13" width="10.28515625" style="4" customWidth="1"/>
    <col min="14" max="14" width="19.140625" style="3" customWidth="1"/>
    <col min="15" max="15" width="11.42578125" style="3" customWidth="1"/>
    <col min="16" max="16" width="10.140625" style="3" bestFit="1" customWidth="1"/>
    <col min="17" max="256" width="11.42578125" style="3" customWidth="1"/>
    <col min="257" max="16384" width="9.140625" style="3"/>
  </cols>
  <sheetData>
    <row r="1" spans="1:19" s="34" customFormat="1" ht="18.75" x14ac:dyDescent="0.3">
      <c r="A1" s="41" t="s">
        <v>90</v>
      </c>
      <c r="B1" s="40"/>
      <c r="C1" s="40"/>
      <c r="D1" s="40"/>
      <c r="E1" s="40"/>
      <c r="F1" s="40"/>
      <c r="G1" s="40"/>
      <c r="H1" s="40"/>
      <c r="I1" s="40"/>
      <c r="J1" s="40"/>
      <c r="K1" s="40"/>
      <c r="L1" s="40"/>
      <c r="M1" s="40"/>
      <c r="N1" s="40"/>
      <c r="O1" s="40"/>
      <c r="P1" s="40"/>
      <c r="Q1" s="40"/>
      <c r="R1" s="40"/>
      <c r="S1" s="40"/>
    </row>
    <row r="2" spans="1:19" s="34" customFormat="1" ht="18.75" x14ac:dyDescent="0.3">
      <c r="A2" s="48" t="s">
        <v>81</v>
      </c>
    </row>
    <row r="3" spans="1:19" s="34" customFormat="1" ht="18.75" x14ac:dyDescent="0.3">
      <c r="A3" s="36" t="s">
        <v>85</v>
      </c>
      <c r="E3" s="34" t="s">
        <v>36</v>
      </c>
    </row>
    <row r="4" spans="1:19" s="34" customFormat="1" ht="18.75" x14ac:dyDescent="0.3">
      <c r="A4" s="36" t="s">
        <v>79</v>
      </c>
      <c r="B4" s="35"/>
      <c r="C4" s="35"/>
      <c r="D4" s="35"/>
      <c r="E4" s="35"/>
      <c r="F4" s="35"/>
      <c r="G4" s="35"/>
      <c r="H4" s="35" t="s">
        <v>36</v>
      </c>
      <c r="I4" s="35"/>
      <c r="J4" s="35"/>
      <c r="K4" s="35"/>
      <c r="L4" s="35"/>
      <c r="M4" s="35"/>
    </row>
    <row r="5" spans="1:19" s="34" customFormat="1" x14ac:dyDescent="0.25">
      <c r="A5" s="112" t="s">
        <v>36</v>
      </c>
      <c r="B5" s="109" t="s">
        <v>89</v>
      </c>
      <c r="C5" s="109"/>
      <c r="D5" s="109"/>
      <c r="E5" s="109"/>
      <c r="F5" s="109"/>
      <c r="G5" s="109"/>
      <c r="H5" s="107" t="s">
        <v>77</v>
      </c>
      <c r="I5" s="107"/>
      <c r="J5" s="107"/>
      <c r="K5" s="107"/>
      <c r="L5" s="107"/>
      <c r="M5" s="107"/>
      <c r="N5" s="109" t="s">
        <v>89</v>
      </c>
      <c r="O5" s="109"/>
      <c r="P5" s="109"/>
      <c r="Q5" s="107" t="s">
        <v>77</v>
      </c>
      <c r="R5" s="107"/>
      <c r="S5" s="107"/>
    </row>
    <row r="6" spans="1:19" s="34" customFormat="1" x14ac:dyDescent="0.25">
      <c r="A6" s="113"/>
      <c r="B6" s="109" t="s">
        <v>9</v>
      </c>
      <c r="C6" s="109"/>
      <c r="D6" s="109"/>
      <c r="E6" s="109"/>
      <c r="F6" s="109"/>
      <c r="G6" s="109"/>
      <c r="H6" s="108"/>
      <c r="I6" s="108"/>
      <c r="J6" s="108"/>
      <c r="K6" s="108"/>
      <c r="L6" s="108"/>
      <c r="M6" s="108"/>
      <c r="N6" s="109" t="s">
        <v>76</v>
      </c>
      <c r="O6" s="109"/>
      <c r="P6" s="109"/>
      <c r="Q6" s="108"/>
      <c r="R6" s="108"/>
      <c r="S6" s="108"/>
    </row>
    <row r="7" spans="1:19" s="28" customFormat="1" ht="79.5" customHeight="1" x14ac:dyDescent="0.25">
      <c r="A7" s="33" t="s">
        <v>75</v>
      </c>
      <c r="B7" s="30" t="s">
        <v>31</v>
      </c>
      <c r="C7" s="30" t="s">
        <v>2</v>
      </c>
      <c r="D7" s="29" t="s">
        <v>74</v>
      </c>
      <c r="E7" s="29" t="s">
        <v>73</v>
      </c>
      <c r="F7" s="30" t="s">
        <v>6</v>
      </c>
      <c r="G7" s="29" t="s">
        <v>72</v>
      </c>
      <c r="H7" s="30" t="s">
        <v>31</v>
      </c>
      <c r="I7" s="30" t="s">
        <v>2</v>
      </c>
      <c r="J7" s="29" t="s">
        <v>74</v>
      </c>
      <c r="K7" s="29" t="s">
        <v>73</v>
      </c>
      <c r="L7" s="30" t="s">
        <v>6</v>
      </c>
      <c r="M7" s="29" t="s">
        <v>72</v>
      </c>
      <c r="N7" s="32" t="s">
        <v>71</v>
      </c>
      <c r="O7" s="31" t="s">
        <v>70</v>
      </c>
      <c r="P7" s="31" t="s">
        <v>69</v>
      </c>
      <c r="Q7" s="30" t="s">
        <v>31</v>
      </c>
      <c r="R7" s="29" t="s">
        <v>70</v>
      </c>
      <c r="S7" s="29" t="s">
        <v>69</v>
      </c>
    </row>
    <row r="8" spans="1:19" s="25" customFormat="1" ht="31.5" customHeight="1" x14ac:dyDescent="0.25">
      <c r="A8" s="25" t="s">
        <v>68</v>
      </c>
      <c r="B8" s="27">
        <v>543242</v>
      </c>
      <c r="C8" s="27">
        <v>336027</v>
      </c>
      <c r="D8" s="27">
        <v>189596</v>
      </c>
      <c r="E8" s="27">
        <v>10346</v>
      </c>
      <c r="F8" s="27">
        <v>5840</v>
      </c>
      <c r="G8" s="27">
        <v>1433</v>
      </c>
      <c r="H8" s="26">
        <v>100</v>
      </c>
      <c r="I8" s="26">
        <v>61.9</v>
      </c>
      <c r="J8" s="26">
        <v>34.9</v>
      </c>
      <c r="K8" s="26">
        <v>1.9</v>
      </c>
      <c r="L8" s="26">
        <v>1.1000000000000001</v>
      </c>
      <c r="M8" s="26">
        <v>0.3</v>
      </c>
      <c r="N8" s="27">
        <v>442254</v>
      </c>
      <c r="O8" s="27">
        <v>100207</v>
      </c>
      <c r="P8" s="27">
        <v>342047</v>
      </c>
      <c r="Q8" s="26">
        <v>100</v>
      </c>
      <c r="R8" s="26">
        <v>22.7</v>
      </c>
      <c r="S8" s="26">
        <v>77.3</v>
      </c>
    </row>
    <row r="9" spans="1:19" ht="31.5" customHeight="1" x14ac:dyDescent="0.25">
      <c r="A9" s="3" t="s">
        <v>67</v>
      </c>
      <c r="B9" s="6">
        <v>693</v>
      </c>
      <c r="C9" s="46">
        <v>280</v>
      </c>
      <c r="D9" s="46">
        <v>401</v>
      </c>
      <c r="E9" s="46">
        <v>6</v>
      </c>
      <c r="F9" s="46">
        <v>3</v>
      </c>
      <c r="G9" s="20">
        <v>3</v>
      </c>
      <c r="H9" s="19">
        <v>100</v>
      </c>
      <c r="I9" s="19">
        <v>40.4</v>
      </c>
      <c r="J9" s="19">
        <v>57.9</v>
      </c>
      <c r="K9" s="19">
        <v>0.9</v>
      </c>
      <c r="L9" s="19">
        <v>0.4</v>
      </c>
      <c r="M9" s="19">
        <v>0.4</v>
      </c>
      <c r="N9" s="22">
        <v>535</v>
      </c>
      <c r="O9" s="22">
        <v>149</v>
      </c>
      <c r="P9" s="22">
        <v>386</v>
      </c>
      <c r="Q9" s="19">
        <v>100</v>
      </c>
      <c r="R9" s="19">
        <v>27.9</v>
      </c>
      <c r="S9" s="19">
        <v>72.099999999999994</v>
      </c>
    </row>
    <row r="10" spans="1:19" ht="20.25" customHeight="1" x14ac:dyDescent="0.25">
      <c r="A10" s="24" t="s">
        <v>66</v>
      </c>
      <c r="B10" s="6">
        <v>3070</v>
      </c>
      <c r="C10" s="46">
        <v>2117</v>
      </c>
      <c r="D10" s="46">
        <v>884</v>
      </c>
      <c r="E10" s="46">
        <v>33</v>
      </c>
      <c r="F10" s="46">
        <v>30</v>
      </c>
      <c r="G10" s="20">
        <v>6</v>
      </c>
      <c r="H10" s="19">
        <v>100</v>
      </c>
      <c r="I10" s="19">
        <v>69</v>
      </c>
      <c r="J10" s="19">
        <v>28.8</v>
      </c>
      <c r="K10" s="19">
        <v>1.1000000000000001</v>
      </c>
      <c r="L10" s="19">
        <v>1</v>
      </c>
      <c r="M10" s="19">
        <v>0.2</v>
      </c>
      <c r="N10" s="22">
        <v>2470</v>
      </c>
      <c r="O10" s="22">
        <v>546</v>
      </c>
      <c r="P10" s="22">
        <v>1924</v>
      </c>
      <c r="Q10" s="19">
        <v>100</v>
      </c>
      <c r="R10" s="19">
        <v>22.1</v>
      </c>
      <c r="S10" s="19">
        <v>77.900000000000006</v>
      </c>
    </row>
    <row r="11" spans="1:19" ht="15.75" customHeight="1" x14ac:dyDescent="0.25">
      <c r="A11" s="3" t="s">
        <v>65</v>
      </c>
      <c r="B11" s="6">
        <v>13082</v>
      </c>
      <c r="C11" s="46">
        <v>4423</v>
      </c>
      <c r="D11" s="46">
        <v>8398</v>
      </c>
      <c r="E11" s="46">
        <v>72</v>
      </c>
      <c r="F11" s="46">
        <v>125</v>
      </c>
      <c r="G11" s="20">
        <v>64</v>
      </c>
      <c r="H11" s="19">
        <v>100</v>
      </c>
      <c r="I11" s="19">
        <v>33.799999999999997</v>
      </c>
      <c r="J11" s="19">
        <v>64.2</v>
      </c>
      <c r="K11" s="19">
        <v>0.6</v>
      </c>
      <c r="L11" s="19">
        <v>1</v>
      </c>
      <c r="M11" s="19">
        <v>0.5</v>
      </c>
      <c r="N11" s="22">
        <v>11262</v>
      </c>
      <c r="O11" s="22">
        <v>2802</v>
      </c>
      <c r="P11" s="22">
        <v>8460</v>
      </c>
      <c r="Q11" s="19">
        <v>100</v>
      </c>
      <c r="R11" s="19">
        <v>24.9</v>
      </c>
      <c r="S11" s="19">
        <v>75.099999999999994</v>
      </c>
    </row>
    <row r="12" spans="1:19" ht="15.75" customHeight="1" x14ac:dyDescent="0.25">
      <c r="A12" s="3" t="s">
        <v>64</v>
      </c>
      <c r="B12" s="6">
        <v>20943</v>
      </c>
      <c r="C12" s="46">
        <v>11627</v>
      </c>
      <c r="D12" s="46">
        <v>8607</v>
      </c>
      <c r="E12" s="46">
        <v>368</v>
      </c>
      <c r="F12" s="46">
        <v>268</v>
      </c>
      <c r="G12" s="20">
        <v>73</v>
      </c>
      <c r="H12" s="19">
        <v>100</v>
      </c>
      <c r="I12" s="19">
        <v>55.5</v>
      </c>
      <c r="J12" s="19">
        <v>41.1</v>
      </c>
      <c r="K12" s="19">
        <v>1.8</v>
      </c>
      <c r="L12" s="19">
        <v>1.3</v>
      </c>
      <c r="M12" s="19">
        <v>0.3</v>
      </c>
      <c r="N12" s="22">
        <v>17639</v>
      </c>
      <c r="O12" s="22">
        <v>4884</v>
      </c>
      <c r="P12" s="22">
        <v>12755</v>
      </c>
      <c r="Q12" s="19">
        <v>100</v>
      </c>
      <c r="R12" s="19">
        <v>27.7</v>
      </c>
      <c r="S12" s="19">
        <v>72.3</v>
      </c>
    </row>
    <row r="13" spans="1:19" ht="15.75" customHeight="1" x14ac:dyDescent="0.25">
      <c r="A13" s="3" t="s">
        <v>63</v>
      </c>
      <c r="B13" s="6">
        <v>16699</v>
      </c>
      <c r="C13" s="46">
        <v>9183</v>
      </c>
      <c r="D13" s="46">
        <v>7029</v>
      </c>
      <c r="E13" s="46">
        <v>280</v>
      </c>
      <c r="F13" s="46">
        <v>155</v>
      </c>
      <c r="G13" s="20">
        <v>52</v>
      </c>
      <c r="H13" s="19">
        <v>100</v>
      </c>
      <c r="I13" s="19">
        <v>55</v>
      </c>
      <c r="J13" s="19">
        <v>42.1</v>
      </c>
      <c r="K13" s="19">
        <v>1.7</v>
      </c>
      <c r="L13" s="19">
        <v>0.9</v>
      </c>
      <c r="M13" s="19">
        <v>0.3</v>
      </c>
      <c r="N13" s="22">
        <v>13323</v>
      </c>
      <c r="O13" s="22">
        <v>3286</v>
      </c>
      <c r="P13" s="22">
        <v>10037</v>
      </c>
      <c r="Q13" s="19">
        <v>100</v>
      </c>
      <c r="R13" s="19">
        <v>24.7</v>
      </c>
      <c r="S13" s="19">
        <v>75.3</v>
      </c>
    </row>
    <row r="14" spans="1:19" ht="15.75" customHeight="1" x14ac:dyDescent="0.25">
      <c r="A14" s="3" t="s">
        <v>62</v>
      </c>
      <c r="B14" s="6">
        <v>69575</v>
      </c>
      <c r="C14" s="46">
        <v>39193</v>
      </c>
      <c r="D14" s="46">
        <v>28031</v>
      </c>
      <c r="E14" s="46">
        <v>1143</v>
      </c>
      <c r="F14" s="46">
        <v>1001</v>
      </c>
      <c r="G14" s="20">
        <v>207</v>
      </c>
      <c r="H14" s="19">
        <v>100</v>
      </c>
      <c r="I14" s="19">
        <v>56.3</v>
      </c>
      <c r="J14" s="19">
        <v>40.299999999999997</v>
      </c>
      <c r="K14" s="19">
        <v>1.6</v>
      </c>
      <c r="L14" s="19">
        <v>1.4</v>
      </c>
      <c r="M14" s="19">
        <v>0.3</v>
      </c>
      <c r="N14" s="22">
        <v>55719</v>
      </c>
      <c r="O14" s="22">
        <v>11069</v>
      </c>
      <c r="P14" s="22">
        <v>44650</v>
      </c>
      <c r="Q14" s="19">
        <v>100</v>
      </c>
      <c r="R14" s="19">
        <v>19.899999999999999</v>
      </c>
      <c r="S14" s="19">
        <v>80.099999999999994</v>
      </c>
    </row>
    <row r="15" spans="1:19" ht="15.75" customHeight="1" x14ac:dyDescent="0.25">
      <c r="A15" s="3" t="s">
        <v>61</v>
      </c>
      <c r="B15" s="6">
        <v>11089</v>
      </c>
      <c r="C15" s="46">
        <v>4976</v>
      </c>
      <c r="D15" s="46">
        <v>5780</v>
      </c>
      <c r="E15" s="46">
        <v>212</v>
      </c>
      <c r="F15" s="46">
        <v>84</v>
      </c>
      <c r="G15" s="20">
        <v>37</v>
      </c>
      <c r="H15" s="19">
        <v>100</v>
      </c>
      <c r="I15" s="19">
        <v>44.9</v>
      </c>
      <c r="J15" s="19">
        <v>52.1</v>
      </c>
      <c r="K15" s="19">
        <v>1.9</v>
      </c>
      <c r="L15" s="19">
        <v>0.8</v>
      </c>
      <c r="M15" s="19">
        <v>0.3</v>
      </c>
      <c r="N15" s="22">
        <v>8672</v>
      </c>
      <c r="O15" s="22">
        <v>2161</v>
      </c>
      <c r="P15" s="22">
        <v>6511</v>
      </c>
      <c r="Q15" s="19">
        <v>100</v>
      </c>
      <c r="R15" s="19">
        <v>24.9</v>
      </c>
      <c r="S15" s="19">
        <v>75.099999999999994</v>
      </c>
    </row>
    <row r="16" spans="1:19" ht="15.75" customHeight="1" x14ac:dyDescent="0.25">
      <c r="A16" s="3" t="s">
        <v>60</v>
      </c>
      <c r="B16" s="6">
        <v>1338</v>
      </c>
      <c r="C16" s="46">
        <v>907</v>
      </c>
      <c r="D16" s="46">
        <v>384</v>
      </c>
      <c r="E16" s="46">
        <v>26</v>
      </c>
      <c r="F16" s="46">
        <v>17</v>
      </c>
      <c r="G16" s="20">
        <v>4</v>
      </c>
      <c r="H16" s="19">
        <v>100</v>
      </c>
      <c r="I16" s="19">
        <v>67.8</v>
      </c>
      <c r="J16" s="19">
        <v>28.7</v>
      </c>
      <c r="K16" s="19">
        <v>1.9</v>
      </c>
      <c r="L16" s="19">
        <v>1.3</v>
      </c>
      <c r="M16" s="19">
        <v>0.3</v>
      </c>
      <c r="N16" s="22">
        <v>1110</v>
      </c>
      <c r="O16" s="22">
        <v>194</v>
      </c>
      <c r="P16" s="22">
        <v>916</v>
      </c>
      <c r="Q16" s="19">
        <v>100</v>
      </c>
      <c r="R16" s="19">
        <v>17.5</v>
      </c>
      <c r="S16" s="19">
        <v>82.5</v>
      </c>
    </row>
    <row r="17" spans="1:19" ht="18.75" x14ac:dyDescent="0.25">
      <c r="A17" s="23" t="s">
        <v>59</v>
      </c>
      <c r="B17" s="6">
        <v>37788</v>
      </c>
      <c r="C17" s="6">
        <v>18447</v>
      </c>
      <c r="D17" s="6">
        <v>18290</v>
      </c>
      <c r="E17" s="6">
        <v>479</v>
      </c>
      <c r="F17" s="6">
        <v>426</v>
      </c>
      <c r="G17" s="6">
        <v>146</v>
      </c>
      <c r="H17" s="19">
        <v>100</v>
      </c>
      <c r="I17" s="19">
        <v>48.8</v>
      </c>
      <c r="J17" s="19">
        <v>48.4</v>
      </c>
      <c r="K17" s="19">
        <v>1.3</v>
      </c>
      <c r="L17" s="19">
        <v>1.1000000000000001</v>
      </c>
      <c r="M17" s="19">
        <v>0.4</v>
      </c>
      <c r="N17" s="6">
        <v>31906</v>
      </c>
      <c r="O17" s="6">
        <v>8381</v>
      </c>
      <c r="P17" s="6">
        <v>23525</v>
      </c>
      <c r="Q17" s="19">
        <v>100</v>
      </c>
      <c r="R17" s="19">
        <v>26.3</v>
      </c>
      <c r="S17" s="19">
        <v>73.7</v>
      </c>
    </row>
    <row r="18" spans="1:19" ht="18.75" x14ac:dyDescent="0.25">
      <c r="A18" s="23" t="s">
        <v>58</v>
      </c>
      <c r="B18" s="6">
        <v>98701</v>
      </c>
      <c r="C18" s="6">
        <v>54259</v>
      </c>
      <c r="D18" s="6">
        <v>41224</v>
      </c>
      <c r="E18" s="6">
        <v>1661</v>
      </c>
      <c r="F18" s="6">
        <v>1257</v>
      </c>
      <c r="G18" s="6">
        <v>300</v>
      </c>
      <c r="H18" s="19">
        <v>100</v>
      </c>
      <c r="I18" s="19">
        <v>55</v>
      </c>
      <c r="J18" s="19">
        <v>41.8</v>
      </c>
      <c r="K18" s="19">
        <v>1.7</v>
      </c>
      <c r="L18" s="19">
        <v>1.3</v>
      </c>
      <c r="M18" s="19">
        <v>0.3</v>
      </c>
      <c r="N18" s="6">
        <v>78824</v>
      </c>
      <c r="O18" s="6">
        <v>16710</v>
      </c>
      <c r="P18" s="6">
        <v>62114</v>
      </c>
      <c r="Q18" s="19">
        <v>100</v>
      </c>
      <c r="R18" s="19">
        <v>21.2</v>
      </c>
      <c r="S18" s="19">
        <v>78.8</v>
      </c>
    </row>
    <row r="19" spans="1:19" ht="15.75" customHeight="1" x14ac:dyDescent="0.25">
      <c r="A19" s="3" t="s">
        <v>57</v>
      </c>
      <c r="B19" s="6">
        <v>93005</v>
      </c>
      <c r="C19" s="46">
        <v>54686</v>
      </c>
      <c r="D19" s="46">
        <v>35674</v>
      </c>
      <c r="E19" s="46">
        <v>1546</v>
      </c>
      <c r="F19" s="46">
        <v>832</v>
      </c>
      <c r="G19" s="20">
        <v>267</v>
      </c>
      <c r="H19" s="19">
        <v>100</v>
      </c>
      <c r="I19" s="19">
        <v>58.8</v>
      </c>
      <c r="J19" s="19">
        <v>38.4</v>
      </c>
      <c r="K19" s="19">
        <v>1.7</v>
      </c>
      <c r="L19" s="19">
        <v>0.9</v>
      </c>
      <c r="M19" s="19">
        <v>0.3</v>
      </c>
      <c r="N19" s="22">
        <v>77796</v>
      </c>
      <c r="O19" s="22">
        <v>17615</v>
      </c>
      <c r="P19" s="22">
        <v>60181</v>
      </c>
      <c r="Q19" s="19">
        <v>100</v>
      </c>
      <c r="R19" s="19">
        <v>22.6</v>
      </c>
      <c r="S19" s="19">
        <v>77.400000000000006</v>
      </c>
    </row>
    <row r="20" spans="1:19" ht="15.75" customHeight="1" x14ac:dyDescent="0.25">
      <c r="A20" s="3" t="s">
        <v>56</v>
      </c>
      <c r="B20" s="6">
        <v>779</v>
      </c>
      <c r="C20" s="46">
        <v>445</v>
      </c>
      <c r="D20" s="46">
        <v>314</v>
      </c>
      <c r="E20" s="46">
        <v>6</v>
      </c>
      <c r="F20" s="46">
        <v>11</v>
      </c>
      <c r="G20" s="20">
        <v>3</v>
      </c>
      <c r="H20" s="19">
        <v>100</v>
      </c>
      <c r="I20" s="19">
        <v>57.1</v>
      </c>
      <c r="J20" s="19">
        <v>40.299999999999997</v>
      </c>
      <c r="K20" s="19">
        <v>0.8</v>
      </c>
      <c r="L20" s="19">
        <v>1.4</v>
      </c>
      <c r="M20" s="19">
        <v>0.4</v>
      </c>
      <c r="N20" s="22">
        <v>630</v>
      </c>
      <c r="O20" s="22">
        <v>131</v>
      </c>
      <c r="P20" s="22">
        <v>499</v>
      </c>
      <c r="Q20" s="19">
        <v>100</v>
      </c>
      <c r="R20" s="19">
        <v>20.8</v>
      </c>
      <c r="S20" s="19">
        <v>79.2</v>
      </c>
    </row>
    <row r="21" spans="1:19" ht="15.75" customHeight="1" x14ac:dyDescent="0.25">
      <c r="A21" s="3" t="s">
        <v>55</v>
      </c>
      <c r="B21" s="6">
        <v>3499</v>
      </c>
      <c r="C21" s="46">
        <v>1447</v>
      </c>
      <c r="D21" s="46">
        <v>1944</v>
      </c>
      <c r="E21" s="46">
        <v>67</v>
      </c>
      <c r="F21" s="46">
        <v>36</v>
      </c>
      <c r="G21" s="20">
        <v>5</v>
      </c>
      <c r="H21" s="19">
        <v>100</v>
      </c>
      <c r="I21" s="19">
        <v>41.4</v>
      </c>
      <c r="J21" s="19">
        <v>55.6</v>
      </c>
      <c r="K21" s="19">
        <v>1.9</v>
      </c>
      <c r="L21" s="19">
        <v>1</v>
      </c>
      <c r="M21" s="19">
        <v>0.1</v>
      </c>
      <c r="N21" s="22">
        <v>3047</v>
      </c>
      <c r="O21" s="22">
        <v>433</v>
      </c>
      <c r="P21" s="22">
        <v>2614</v>
      </c>
      <c r="Q21" s="19">
        <v>100</v>
      </c>
      <c r="R21" s="19">
        <v>14.2</v>
      </c>
      <c r="S21" s="19">
        <v>85.8</v>
      </c>
    </row>
    <row r="22" spans="1:19" ht="15.75" customHeight="1" x14ac:dyDescent="0.25">
      <c r="A22" s="3" t="s">
        <v>54</v>
      </c>
      <c r="B22" s="6">
        <v>435</v>
      </c>
      <c r="C22" s="46">
        <v>229</v>
      </c>
      <c r="D22" s="46">
        <v>188</v>
      </c>
      <c r="E22" s="46">
        <v>4</v>
      </c>
      <c r="F22" s="46">
        <v>12</v>
      </c>
      <c r="G22" s="20">
        <v>2</v>
      </c>
      <c r="H22" s="19">
        <v>100</v>
      </c>
      <c r="I22" s="19">
        <v>52.6</v>
      </c>
      <c r="J22" s="19">
        <v>43.2</v>
      </c>
      <c r="K22" s="19">
        <v>0.9</v>
      </c>
      <c r="L22" s="19">
        <v>2.8</v>
      </c>
      <c r="M22" s="19">
        <v>0.5</v>
      </c>
      <c r="N22" s="22">
        <v>374</v>
      </c>
      <c r="O22" s="22">
        <v>74</v>
      </c>
      <c r="P22" s="22">
        <v>300</v>
      </c>
      <c r="Q22" s="19">
        <v>100</v>
      </c>
      <c r="R22" s="19">
        <v>19.8</v>
      </c>
      <c r="S22" s="19">
        <v>80.2</v>
      </c>
    </row>
    <row r="23" spans="1:19" ht="15.75" customHeight="1" x14ac:dyDescent="0.25">
      <c r="A23" s="3" t="s">
        <v>53</v>
      </c>
      <c r="B23" s="6">
        <v>6936</v>
      </c>
      <c r="C23" s="46">
        <v>2598</v>
      </c>
      <c r="D23" s="46">
        <v>4123</v>
      </c>
      <c r="E23" s="46">
        <v>76</v>
      </c>
      <c r="F23" s="46">
        <v>95</v>
      </c>
      <c r="G23" s="20">
        <v>44</v>
      </c>
      <c r="H23" s="19">
        <v>100</v>
      </c>
      <c r="I23" s="19">
        <v>37.5</v>
      </c>
      <c r="J23" s="19">
        <v>59.4</v>
      </c>
      <c r="K23" s="19">
        <v>1.1000000000000001</v>
      </c>
      <c r="L23" s="19">
        <v>1.4</v>
      </c>
      <c r="M23" s="19">
        <v>0.6</v>
      </c>
      <c r="N23" s="22">
        <v>5709</v>
      </c>
      <c r="O23" s="22">
        <v>1222</v>
      </c>
      <c r="P23" s="22">
        <v>4487</v>
      </c>
      <c r="Q23" s="19">
        <v>100</v>
      </c>
      <c r="R23" s="19">
        <v>21.4</v>
      </c>
      <c r="S23" s="19">
        <v>78.599999999999994</v>
      </c>
    </row>
    <row r="24" spans="1:19" ht="15.75" customHeight="1" x14ac:dyDescent="0.25">
      <c r="A24" s="3" t="s">
        <v>52</v>
      </c>
      <c r="B24" s="6">
        <v>22753</v>
      </c>
      <c r="C24" s="46">
        <v>15418</v>
      </c>
      <c r="D24" s="46">
        <v>6612</v>
      </c>
      <c r="E24" s="46">
        <v>496</v>
      </c>
      <c r="F24" s="46">
        <v>197</v>
      </c>
      <c r="G24" s="20">
        <v>30</v>
      </c>
      <c r="H24" s="19">
        <v>100</v>
      </c>
      <c r="I24" s="19">
        <v>67.8</v>
      </c>
      <c r="J24" s="19">
        <v>29.1</v>
      </c>
      <c r="K24" s="19">
        <v>2.2000000000000002</v>
      </c>
      <c r="L24" s="19">
        <v>0.9</v>
      </c>
      <c r="M24" s="19">
        <v>0.1</v>
      </c>
      <c r="N24" s="22">
        <v>19361</v>
      </c>
      <c r="O24" s="22">
        <v>3953</v>
      </c>
      <c r="P24" s="22">
        <v>15408</v>
      </c>
      <c r="Q24" s="19">
        <v>100</v>
      </c>
      <c r="R24" s="19">
        <v>20.399999999999999</v>
      </c>
      <c r="S24" s="19">
        <v>79.599999999999994</v>
      </c>
    </row>
    <row r="25" spans="1:19" ht="15.75" customHeight="1" x14ac:dyDescent="0.25">
      <c r="A25" s="3" t="s">
        <v>51</v>
      </c>
      <c r="B25" s="6">
        <v>12840</v>
      </c>
      <c r="C25" s="46">
        <v>6983</v>
      </c>
      <c r="D25" s="46">
        <v>5501</v>
      </c>
      <c r="E25" s="46">
        <v>134</v>
      </c>
      <c r="F25" s="46">
        <v>184</v>
      </c>
      <c r="G25" s="20">
        <v>38</v>
      </c>
      <c r="H25" s="19">
        <v>100</v>
      </c>
      <c r="I25" s="19">
        <v>54.4</v>
      </c>
      <c r="J25" s="19">
        <v>42.8</v>
      </c>
      <c r="K25" s="19">
        <v>1</v>
      </c>
      <c r="L25" s="19">
        <v>1.4</v>
      </c>
      <c r="M25" s="19">
        <v>0.3</v>
      </c>
      <c r="N25" s="22">
        <v>10496</v>
      </c>
      <c r="O25" s="22">
        <v>3285</v>
      </c>
      <c r="P25" s="22">
        <v>7211</v>
      </c>
      <c r="Q25" s="19">
        <v>100</v>
      </c>
      <c r="R25" s="19">
        <v>31.3</v>
      </c>
      <c r="S25" s="19">
        <v>68.7</v>
      </c>
    </row>
    <row r="26" spans="1:19" ht="15.75" customHeight="1" x14ac:dyDescent="0.25">
      <c r="A26" s="3" t="s">
        <v>50</v>
      </c>
      <c r="B26" s="6">
        <v>199</v>
      </c>
      <c r="C26" s="46">
        <v>118</v>
      </c>
      <c r="D26" s="46">
        <v>75</v>
      </c>
      <c r="E26" s="46">
        <v>3</v>
      </c>
      <c r="F26" s="46">
        <v>2</v>
      </c>
      <c r="G26" s="20">
        <v>1</v>
      </c>
      <c r="H26" s="19">
        <v>100</v>
      </c>
      <c r="I26" s="19">
        <v>59.3</v>
      </c>
      <c r="J26" s="19">
        <v>37.700000000000003</v>
      </c>
      <c r="K26" s="19">
        <v>1.5</v>
      </c>
      <c r="L26" s="19">
        <v>1</v>
      </c>
      <c r="M26" s="19">
        <v>0.5</v>
      </c>
      <c r="N26" s="22">
        <v>177</v>
      </c>
      <c r="O26" s="22">
        <v>35</v>
      </c>
      <c r="P26" s="22">
        <v>142</v>
      </c>
      <c r="Q26" s="19">
        <v>100</v>
      </c>
      <c r="R26" s="19">
        <v>19.8</v>
      </c>
      <c r="S26" s="19">
        <v>80.2</v>
      </c>
    </row>
    <row r="27" spans="1:19" ht="15.75" customHeight="1" x14ac:dyDescent="0.25">
      <c r="A27" s="3" t="s">
        <v>49</v>
      </c>
      <c r="B27" s="6">
        <v>5585</v>
      </c>
      <c r="C27" s="46">
        <v>4062</v>
      </c>
      <c r="D27" s="46">
        <v>1361</v>
      </c>
      <c r="E27" s="46">
        <v>61</v>
      </c>
      <c r="F27" s="46">
        <v>84</v>
      </c>
      <c r="G27" s="20">
        <v>17</v>
      </c>
      <c r="H27" s="19">
        <v>100</v>
      </c>
      <c r="I27" s="19">
        <v>72.7</v>
      </c>
      <c r="J27" s="19">
        <v>24.4</v>
      </c>
      <c r="K27" s="19">
        <v>1.1000000000000001</v>
      </c>
      <c r="L27" s="19">
        <v>1.5</v>
      </c>
      <c r="M27" s="19">
        <v>0.3</v>
      </c>
      <c r="N27" s="22">
        <v>4538</v>
      </c>
      <c r="O27" s="22">
        <v>1065</v>
      </c>
      <c r="P27" s="22">
        <v>3473</v>
      </c>
      <c r="Q27" s="19">
        <v>100</v>
      </c>
      <c r="R27" s="19">
        <v>23.5</v>
      </c>
      <c r="S27" s="19">
        <v>76.5</v>
      </c>
    </row>
    <row r="28" spans="1:19" ht="15.75" customHeight="1" x14ac:dyDescent="0.25">
      <c r="A28" s="3" t="s">
        <v>48</v>
      </c>
      <c r="B28" s="6">
        <v>67096</v>
      </c>
      <c r="C28" s="46">
        <v>49311</v>
      </c>
      <c r="D28" s="46">
        <v>15304</v>
      </c>
      <c r="E28" s="46">
        <v>1357</v>
      </c>
      <c r="F28" s="46">
        <v>902</v>
      </c>
      <c r="G28" s="20">
        <v>222</v>
      </c>
      <c r="H28" s="19">
        <v>100</v>
      </c>
      <c r="I28" s="19">
        <v>73.5</v>
      </c>
      <c r="J28" s="19">
        <v>22.8</v>
      </c>
      <c r="K28" s="19">
        <v>2</v>
      </c>
      <c r="L28" s="19">
        <v>1.3</v>
      </c>
      <c r="M28" s="19">
        <v>0.3</v>
      </c>
      <c r="N28" s="22">
        <v>56133</v>
      </c>
      <c r="O28" s="22">
        <v>15373</v>
      </c>
      <c r="P28" s="22">
        <v>40760</v>
      </c>
      <c r="Q28" s="19">
        <v>100</v>
      </c>
      <c r="R28" s="19">
        <v>27.4</v>
      </c>
      <c r="S28" s="19">
        <v>72.599999999999994</v>
      </c>
    </row>
    <row r="29" spans="1:19" ht="15.75" customHeight="1" x14ac:dyDescent="0.25">
      <c r="A29" s="3" t="s">
        <v>47</v>
      </c>
      <c r="B29" s="6">
        <v>134</v>
      </c>
      <c r="C29" s="46">
        <v>30</v>
      </c>
      <c r="D29" s="46">
        <v>103</v>
      </c>
      <c r="E29" s="46">
        <v>1</v>
      </c>
      <c r="F29" s="46">
        <v>0</v>
      </c>
      <c r="G29" s="20">
        <v>0</v>
      </c>
      <c r="H29" s="19">
        <v>100</v>
      </c>
      <c r="I29" s="19">
        <v>22.4</v>
      </c>
      <c r="J29" s="19">
        <v>76.900000000000006</v>
      </c>
      <c r="K29" s="19">
        <v>0.7</v>
      </c>
      <c r="L29" s="19">
        <v>0</v>
      </c>
      <c r="M29" s="19">
        <v>0</v>
      </c>
      <c r="N29" s="22">
        <v>77</v>
      </c>
      <c r="O29" s="22">
        <v>10</v>
      </c>
      <c r="P29" s="22">
        <v>67</v>
      </c>
      <c r="Q29" s="19">
        <v>100</v>
      </c>
      <c r="R29" s="19">
        <v>13</v>
      </c>
      <c r="S29" s="19">
        <v>87</v>
      </c>
    </row>
    <row r="30" spans="1:19" ht="15.75" customHeight="1" x14ac:dyDescent="0.25">
      <c r="A30" s="3" t="s">
        <v>46</v>
      </c>
      <c r="B30" s="6">
        <v>2447</v>
      </c>
      <c r="C30" s="46">
        <v>1674</v>
      </c>
      <c r="D30" s="46">
        <v>573</v>
      </c>
      <c r="E30" s="46">
        <v>181</v>
      </c>
      <c r="F30" s="46">
        <v>18</v>
      </c>
      <c r="G30" s="20">
        <v>1</v>
      </c>
      <c r="H30" s="19">
        <v>100</v>
      </c>
      <c r="I30" s="19">
        <v>68.400000000000006</v>
      </c>
      <c r="J30" s="19">
        <v>23.4</v>
      </c>
      <c r="K30" s="19">
        <v>7.4</v>
      </c>
      <c r="L30" s="19">
        <v>0.7</v>
      </c>
      <c r="M30" s="19" t="s">
        <v>88</v>
      </c>
      <c r="N30" s="22">
        <v>1892</v>
      </c>
      <c r="O30" s="22">
        <v>301</v>
      </c>
      <c r="P30" s="22">
        <v>1591</v>
      </c>
      <c r="Q30" s="19">
        <v>100</v>
      </c>
      <c r="R30" s="19">
        <v>15.9</v>
      </c>
      <c r="S30" s="19">
        <v>84.1</v>
      </c>
    </row>
    <row r="31" spans="1:19" ht="15.75" customHeight="1" x14ac:dyDescent="0.25">
      <c r="A31" s="3" t="s">
        <v>45</v>
      </c>
      <c r="B31" s="6">
        <v>3998</v>
      </c>
      <c r="C31" s="46">
        <v>3512</v>
      </c>
      <c r="D31" s="46">
        <v>278</v>
      </c>
      <c r="E31" s="46">
        <v>133</v>
      </c>
      <c r="F31" s="46">
        <v>64</v>
      </c>
      <c r="G31" s="20">
        <v>11</v>
      </c>
      <c r="H31" s="19">
        <v>100</v>
      </c>
      <c r="I31" s="19">
        <v>87.8</v>
      </c>
      <c r="J31" s="19">
        <v>7</v>
      </c>
      <c r="K31" s="19">
        <v>3.3</v>
      </c>
      <c r="L31" s="19">
        <v>1.6</v>
      </c>
      <c r="M31" s="19">
        <v>0.3</v>
      </c>
      <c r="N31" s="22">
        <v>3222</v>
      </c>
      <c r="O31" s="22">
        <v>882</v>
      </c>
      <c r="P31" s="22">
        <v>2340</v>
      </c>
      <c r="Q31" s="19">
        <v>100</v>
      </c>
      <c r="R31" s="19">
        <v>27.4</v>
      </c>
      <c r="S31" s="19">
        <v>72.599999999999994</v>
      </c>
    </row>
    <row r="32" spans="1:19" ht="15.75" customHeight="1" x14ac:dyDescent="0.25">
      <c r="A32" s="3" t="s">
        <v>44</v>
      </c>
      <c r="B32" s="6">
        <v>19530</v>
      </c>
      <c r="C32" s="46">
        <v>17021</v>
      </c>
      <c r="D32" s="46">
        <v>1260</v>
      </c>
      <c r="E32" s="46">
        <v>959</v>
      </c>
      <c r="F32" s="46">
        <v>244</v>
      </c>
      <c r="G32" s="20">
        <v>46</v>
      </c>
      <c r="H32" s="19">
        <v>100</v>
      </c>
      <c r="I32" s="19">
        <v>87.2</v>
      </c>
      <c r="J32" s="19">
        <v>6.5</v>
      </c>
      <c r="K32" s="19">
        <v>4.9000000000000004</v>
      </c>
      <c r="L32" s="19">
        <v>1.2</v>
      </c>
      <c r="M32" s="19">
        <v>0.2</v>
      </c>
      <c r="N32" s="22">
        <v>16080</v>
      </c>
      <c r="O32" s="22">
        <v>2994</v>
      </c>
      <c r="P32" s="22">
        <v>13086</v>
      </c>
      <c r="Q32" s="19">
        <v>100</v>
      </c>
      <c r="R32" s="19">
        <v>18.600000000000001</v>
      </c>
      <c r="S32" s="19">
        <v>81.400000000000006</v>
      </c>
    </row>
    <row r="33" spans="1:19" ht="15.75" customHeight="1" x14ac:dyDescent="0.25">
      <c r="A33" s="3" t="s">
        <v>43</v>
      </c>
      <c r="B33" s="6">
        <v>2479</v>
      </c>
      <c r="C33" s="46">
        <v>1989</v>
      </c>
      <c r="D33" s="46">
        <v>316</v>
      </c>
      <c r="E33" s="46">
        <v>138</v>
      </c>
      <c r="F33" s="46">
        <v>32</v>
      </c>
      <c r="G33" s="20">
        <v>4</v>
      </c>
      <c r="H33" s="19">
        <v>100</v>
      </c>
      <c r="I33" s="19">
        <v>80.2</v>
      </c>
      <c r="J33" s="19">
        <v>12.7</v>
      </c>
      <c r="K33" s="19">
        <v>5.6</v>
      </c>
      <c r="L33" s="19">
        <v>1.3</v>
      </c>
      <c r="M33" s="19">
        <v>0.2</v>
      </c>
      <c r="N33" s="22">
        <v>2321</v>
      </c>
      <c r="O33" s="22">
        <v>862</v>
      </c>
      <c r="P33" s="22">
        <v>1459</v>
      </c>
      <c r="Q33" s="19">
        <v>100</v>
      </c>
      <c r="R33" s="19">
        <v>37.1</v>
      </c>
      <c r="S33" s="19">
        <v>62.9</v>
      </c>
    </row>
    <row r="34" spans="1:19" ht="15.75" customHeight="1" x14ac:dyDescent="0.25">
      <c r="A34" s="3" t="s">
        <v>42</v>
      </c>
      <c r="B34" s="6">
        <v>43621</v>
      </c>
      <c r="C34" s="46">
        <v>24017</v>
      </c>
      <c r="D34" s="46">
        <v>18417</v>
      </c>
      <c r="E34" s="46">
        <v>867</v>
      </c>
      <c r="F34" s="46">
        <v>286</v>
      </c>
      <c r="G34" s="20">
        <v>34</v>
      </c>
      <c r="H34" s="19">
        <v>100</v>
      </c>
      <c r="I34" s="19">
        <v>55.1</v>
      </c>
      <c r="J34" s="19">
        <v>42.2</v>
      </c>
      <c r="K34" s="19">
        <v>2</v>
      </c>
      <c r="L34" s="19">
        <v>0.7</v>
      </c>
      <c r="M34" s="19">
        <v>0.1</v>
      </c>
      <c r="N34" s="22">
        <v>32530</v>
      </c>
      <c r="O34" s="22">
        <v>5948</v>
      </c>
      <c r="P34" s="22">
        <v>26582</v>
      </c>
      <c r="Q34" s="19">
        <v>100</v>
      </c>
      <c r="R34" s="19">
        <v>18.3</v>
      </c>
      <c r="S34" s="19">
        <v>81.7</v>
      </c>
    </row>
    <row r="35" spans="1:19" ht="15.75" customHeight="1" x14ac:dyDescent="0.25">
      <c r="A35" s="3" t="s">
        <v>41</v>
      </c>
      <c r="B35" s="6">
        <v>525</v>
      </c>
      <c r="C35" s="46">
        <v>265</v>
      </c>
      <c r="D35" s="46">
        <v>246</v>
      </c>
      <c r="E35" s="46">
        <v>8</v>
      </c>
      <c r="F35" s="46">
        <v>4</v>
      </c>
      <c r="G35" s="20">
        <v>2</v>
      </c>
      <c r="H35" s="19">
        <v>100</v>
      </c>
      <c r="I35" s="19">
        <v>50.5</v>
      </c>
      <c r="J35" s="19">
        <v>46.9</v>
      </c>
      <c r="K35" s="19">
        <v>1.5</v>
      </c>
      <c r="L35" s="19">
        <v>0.8</v>
      </c>
      <c r="M35" s="19">
        <v>0.4</v>
      </c>
      <c r="N35" s="22">
        <v>394</v>
      </c>
      <c r="O35" s="22">
        <v>86</v>
      </c>
      <c r="P35" s="22">
        <v>308</v>
      </c>
      <c r="Q35" s="19">
        <v>100</v>
      </c>
      <c r="R35" s="19">
        <v>21.8</v>
      </c>
      <c r="S35" s="19">
        <v>78.2</v>
      </c>
    </row>
    <row r="36" spans="1:19" ht="15.75" customHeight="1" x14ac:dyDescent="0.25">
      <c r="A36" s="3" t="s">
        <v>40</v>
      </c>
      <c r="B36" s="6">
        <v>104133</v>
      </c>
      <c r="C36" s="46">
        <v>70131</v>
      </c>
      <c r="D36" s="46">
        <v>30929</v>
      </c>
      <c r="E36" s="46">
        <v>1893</v>
      </c>
      <c r="F36" s="46">
        <v>970</v>
      </c>
      <c r="G36" s="20">
        <v>210</v>
      </c>
      <c r="H36" s="19">
        <v>100</v>
      </c>
      <c r="I36" s="19">
        <v>67.3</v>
      </c>
      <c r="J36" s="19">
        <v>29.7</v>
      </c>
      <c r="K36" s="19">
        <v>1.8</v>
      </c>
      <c r="L36" s="19">
        <v>0.9</v>
      </c>
      <c r="M36" s="19">
        <v>0.2</v>
      </c>
      <c r="N36" s="22">
        <v>82061</v>
      </c>
      <c r="O36" s="22">
        <v>17815</v>
      </c>
      <c r="P36" s="22">
        <v>64246</v>
      </c>
      <c r="Q36" s="19">
        <v>100</v>
      </c>
      <c r="R36" s="19">
        <v>21.7</v>
      </c>
      <c r="S36" s="19">
        <v>78.3</v>
      </c>
    </row>
    <row r="37" spans="1:19" ht="15.75" customHeight="1" x14ac:dyDescent="0.25">
      <c r="A37" s="3" t="s">
        <v>39</v>
      </c>
      <c r="B37" s="6">
        <v>39</v>
      </c>
      <c r="C37" s="46">
        <v>23</v>
      </c>
      <c r="D37" s="46">
        <v>12</v>
      </c>
      <c r="E37" s="46">
        <v>4</v>
      </c>
      <c r="F37" s="46">
        <v>0</v>
      </c>
      <c r="G37" s="20">
        <v>0</v>
      </c>
      <c r="H37" s="19">
        <v>100</v>
      </c>
      <c r="I37" s="19">
        <v>59</v>
      </c>
      <c r="J37" s="19">
        <v>30.8</v>
      </c>
      <c r="K37" s="19">
        <v>10.3</v>
      </c>
      <c r="L37" s="19">
        <v>0</v>
      </c>
      <c r="M37" s="19">
        <v>0</v>
      </c>
      <c r="N37" s="22">
        <v>25</v>
      </c>
      <c r="O37" s="22">
        <v>2</v>
      </c>
      <c r="P37" s="22">
        <v>23</v>
      </c>
      <c r="Q37" s="19">
        <v>100</v>
      </c>
      <c r="R37" s="19">
        <v>8</v>
      </c>
      <c r="S37" s="19">
        <v>92</v>
      </c>
    </row>
    <row r="38" spans="1:19" ht="15.75" customHeight="1" x14ac:dyDescent="0.25">
      <c r="A38" s="3" t="s">
        <v>38</v>
      </c>
      <c r="B38" s="6">
        <v>16720</v>
      </c>
      <c r="C38" s="46">
        <v>9362</v>
      </c>
      <c r="D38" s="46">
        <v>6852</v>
      </c>
      <c r="E38" s="46">
        <v>272</v>
      </c>
      <c r="F38" s="46">
        <v>184</v>
      </c>
      <c r="G38" s="20">
        <v>50</v>
      </c>
      <c r="H38" s="19">
        <v>100</v>
      </c>
      <c r="I38" s="19">
        <v>56</v>
      </c>
      <c r="J38" s="19">
        <v>41</v>
      </c>
      <c r="K38" s="19">
        <v>1.6</v>
      </c>
      <c r="L38" s="19">
        <v>1.1000000000000001</v>
      </c>
      <c r="M38" s="19">
        <v>0.3</v>
      </c>
      <c r="N38" s="18">
        <v>14661</v>
      </c>
      <c r="O38" s="18">
        <v>3030</v>
      </c>
      <c r="P38" s="18">
        <v>11631</v>
      </c>
      <c r="Q38" s="17">
        <v>100</v>
      </c>
      <c r="R38" s="17">
        <v>20.7</v>
      </c>
      <c r="S38" s="17">
        <v>79.3</v>
      </c>
    </row>
    <row r="39" spans="1:19" s="7" customFormat="1" ht="18" customHeight="1" x14ac:dyDescent="0.25">
      <c r="A39" s="16" t="s">
        <v>37</v>
      </c>
      <c r="B39" s="14"/>
      <c r="C39" s="14"/>
      <c r="D39" s="14"/>
      <c r="E39" s="15"/>
      <c r="F39" s="15"/>
      <c r="G39" s="15"/>
      <c r="H39" s="14" t="s">
        <v>36</v>
      </c>
      <c r="I39" s="14"/>
      <c r="J39" s="14" t="s">
        <v>36</v>
      </c>
      <c r="K39" s="14"/>
      <c r="L39" s="14"/>
      <c r="M39" s="14"/>
    </row>
    <row r="40" spans="1:19" s="7" customFormat="1" ht="18" customHeight="1" x14ac:dyDescent="0.25">
      <c r="A40" s="13" t="s">
        <v>35</v>
      </c>
      <c r="B40" s="8"/>
      <c r="C40" s="8"/>
      <c r="D40" s="8"/>
      <c r="E40" s="8"/>
      <c r="F40" s="8"/>
      <c r="G40" s="8"/>
      <c r="H40" s="8"/>
      <c r="I40" s="8"/>
      <c r="J40" s="8"/>
      <c r="K40" s="8"/>
      <c r="L40" s="8"/>
      <c r="M40" s="8"/>
      <c r="P40" s="7" t="s">
        <v>36</v>
      </c>
    </row>
    <row r="41" spans="1:19" s="7" customFormat="1" ht="18" customHeight="1" x14ac:dyDescent="0.25">
      <c r="A41" s="10" t="s">
        <v>34</v>
      </c>
      <c r="B41" s="9"/>
      <c r="C41" s="8"/>
      <c r="D41" s="8"/>
      <c r="E41" s="8"/>
      <c r="F41" s="8"/>
      <c r="G41" s="8"/>
      <c r="H41" s="8"/>
      <c r="I41" s="8"/>
      <c r="J41" s="8"/>
      <c r="K41" s="8"/>
      <c r="L41" s="8"/>
      <c r="M41" s="8"/>
    </row>
    <row r="42" spans="1:19" s="7" customFormat="1" ht="18" customHeight="1" x14ac:dyDescent="0.25">
      <c r="A42" s="9" t="s">
        <v>33</v>
      </c>
      <c r="H42" s="49"/>
      <c r="I42" s="49"/>
      <c r="J42" s="49"/>
      <c r="K42" s="49"/>
      <c r="L42" s="49"/>
      <c r="M42" s="49"/>
    </row>
    <row r="43" spans="1:19" ht="18" customHeight="1" x14ac:dyDescent="0.25">
      <c r="A43" s="7" t="s">
        <v>87</v>
      </c>
    </row>
    <row r="48" spans="1:19" x14ac:dyDescent="0.25">
      <c r="B48" s="5"/>
      <c r="C48" s="5"/>
      <c r="D48" s="5"/>
      <c r="E48" s="5"/>
      <c r="F48" s="5"/>
      <c r="G48" s="5"/>
    </row>
  </sheetData>
  <mergeCells count="7">
    <mergeCell ref="A5:A6"/>
    <mergeCell ref="N5:P5"/>
    <mergeCell ref="Q5:S6"/>
    <mergeCell ref="B6:G6"/>
    <mergeCell ref="N6:P6"/>
    <mergeCell ref="B5:G5"/>
    <mergeCell ref="H5:M6"/>
  </mergeCells>
  <printOptions horizontalCentered="1"/>
  <pageMargins left="0.2" right="0.2" top="0.2" bottom="0.2" header="0.5" footer="0.5"/>
  <pageSetup paperSize="5" scale="74"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1"/>
  <sheetViews>
    <sheetView zoomScale="120" zoomScaleNormal="120" zoomScaleSheetLayoutView="100" workbookViewId="0">
      <selection activeCell="L21" sqref="L21"/>
    </sheetView>
  </sheetViews>
  <sheetFormatPr defaultRowHeight="12" x14ac:dyDescent="0.2"/>
  <cols>
    <col min="1" max="1" width="7.28515625" style="50" customWidth="1"/>
    <col min="2" max="2" width="9.42578125" style="52" customWidth="1"/>
    <col min="3" max="3" width="9.140625" style="52"/>
    <col min="4" max="4" width="8.5703125" style="51" customWidth="1"/>
    <col min="5" max="5" width="10" style="52" customWidth="1"/>
    <col min="6" max="6" width="11.28515625" style="51" customWidth="1"/>
    <col min="7" max="7" width="8.5703125" style="52" customWidth="1"/>
    <col min="8" max="8" width="9.28515625" style="51" customWidth="1"/>
    <col min="9" max="9" width="9" style="54" customWidth="1"/>
    <col min="10" max="10" width="9.42578125" style="53" customWidth="1"/>
    <col min="11" max="11" width="8.28515625" style="52" customWidth="1"/>
    <col min="12" max="12" width="9.140625" style="51"/>
    <col min="13" max="13" width="9" style="52" customWidth="1"/>
    <col min="14" max="14" width="9.140625" style="51"/>
    <col min="15" max="15" width="9" style="52" customWidth="1"/>
    <col min="16" max="16" width="8.5703125" style="51" customWidth="1"/>
    <col min="17" max="17" width="8.85546875" style="52" customWidth="1"/>
    <col min="18" max="18" width="8.7109375" style="51" customWidth="1"/>
    <col min="19" max="19" width="10.7109375" style="52" customWidth="1"/>
    <col min="20" max="20" width="8.7109375" style="51" customWidth="1"/>
    <col min="21" max="21" width="8.5703125" style="52" customWidth="1"/>
    <col min="22" max="22" width="8.5703125" style="51" customWidth="1"/>
    <col min="23" max="16384" width="9.140625" style="50"/>
  </cols>
  <sheetData>
    <row r="1" spans="1:24" s="91" customFormat="1" x14ac:dyDescent="0.2">
      <c r="A1" s="104" t="s">
        <v>137</v>
      </c>
      <c r="B1" s="101" t="s">
        <v>36</v>
      </c>
      <c r="C1" s="101"/>
      <c r="D1" s="100"/>
      <c r="E1" s="101"/>
      <c r="F1" s="100"/>
      <c r="G1" s="101"/>
      <c r="H1" s="100"/>
      <c r="I1" s="103"/>
      <c r="J1" s="102"/>
      <c r="K1" s="101"/>
      <c r="L1" s="100"/>
      <c r="M1" s="101"/>
      <c r="N1" s="100"/>
      <c r="O1" s="101"/>
      <c r="P1" s="100"/>
      <c r="Q1" s="101"/>
      <c r="R1" s="100"/>
      <c r="S1" s="101"/>
      <c r="T1" s="100"/>
      <c r="U1" s="101"/>
      <c r="V1" s="100"/>
    </row>
    <row r="2" spans="1:24" s="96" customFormat="1" x14ac:dyDescent="0.25">
      <c r="A2" s="99" t="s">
        <v>136</v>
      </c>
      <c r="B2" s="98"/>
      <c r="C2" s="98"/>
      <c r="D2" s="98"/>
      <c r="E2" s="98"/>
      <c r="I2" s="97"/>
      <c r="J2" s="97"/>
    </row>
    <row r="3" spans="1:24" s="91" customFormat="1" x14ac:dyDescent="0.2">
      <c r="A3" s="91" t="s">
        <v>135</v>
      </c>
      <c r="B3" s="93"/>
      <c r="C3" s="93"/>
      <c r="D3" s="92"/>
      <c r="E3" s="93"/>
      <c r="F3" s="92"/>
      <c r="G3" s="93"/>
      <c r="H3" s="92"/>
      <c r="I3" s="95"/>
      <c r="J3" s="94"/>
      <c r="K3" s="93"/>
      <c r="L3" s="92"/>
      <c r="M3" s="93"/>
      <c r="N3" s="92"/>
      <c r="O3" s="93"/>
      <c r="P3" s="92"/>
      <c r="Q3" s="93"/>
      <c r="R3" s="92"/>
      <c r="S3" s="93"/>
      <c r="T3" s="92"/>
      <c r="U3" s="93"/>
      <c r="V3" s="92"/>
    </row>
    <row r="4" spans="1:24" s="85" customFormat="1" ht="49.5" x14ac:dyDescent="0.2">
      <c r="A4" s="87" t="s">
        <v>134</v>
      </c>
      <c r="B4" s="87" t="s">
        <v>133</v>
      </c>
      <c r="C4" s="88" t="s">
        <v>132</v>
      </c>
      <c r="D4" s="86" t="s">
        <v>131</v>
      </c>
      <c r="E4" s="87" t="s">
        <v>130</v>
      </c>
      <c r="F4" s="86" t="s">
        <v>129</v>
      </c>
      <c r="G4" s="90" t="s">
        <v>128</v>
      </c>
      <c r="H4" s="89" t="s">
        <v>127</v>
      </c>
      <c r="I4" s="90" t="s">
        <v>126</v>
      </c>
      <c r="J4" s="89" t="s">
        <v>125</v>
      </c>
      <c r="K4" s="87" t="s">
        <v>65</v>
      </c>
      <c r="L4" s="86" t="s">
        <v>124</v>
      </c>
      <c r="M4" s="87" t="s">
        <v>123</v>
      </c>
      <c r="N4" s="86" t="s">
        <v>122</v>
      </c>
      <c r="O4" s="88" t="s">
        <v>121</v>
      </c>
      <c r="P4" s="86" t="s">
        <v>120</v>
      </c>
      <c r="Q4" s="87" t="s">
        <v>63</v>
      </c>
      <c r="R4" s="86" t="s">
        <v>119</v>
      </c>
      <c r="S4" s="87" t="s">
        <v>118</v>
      </c>
      <c r="T4" s="86" t="s">
        <v>117</v>
      </c>
      <c r="U4" s="87" t="s">
        <v>116</v>
      </c>
      <c r="V4" s="86" t="s">
        <v>115</v>
      </c>
    </row>
    <row r="5" spans="1:24" x14ac:dyDescent="0.2">
      <c r="A5" s="80">
        <v>1999</v>
      </c>
      <c r="B5" s="78">
        <v>272690813</v>
      </c>
      <c r="C5" s="78">
        <v>1426044</v>
      </c>
      <c r="D5" s="76">
        <v>523</v>
      </c>
      <c r="E5" s="78">
        <v>15522</v>
      </c>
      <c r="F5" s="76">
        <v>5.7</v>
      </c>
      <c r="G5" s="78"/>
      <c r="H5" s="76"/>
      <c r="I5" s="83">
        <v>89411</v>
      </c>
      <c r="J5" s="79">
        <v>32.799999999999997</v>
      </c>
      <c r="K5" s="78">
        <v>409371</v>
      </c>
      <c r="L5" s="76">
        <v>150.1</v>
      </c>
      <c r="M5" s="78">
        <v>911740</v>
      </c>
      <c r="N5" s="76">
        <v>334.3</v>
      </c>
      <c r="O5" s="78">
        <v>10208334</v>
      </c>
      <c r="P5" s="77">
        <v>3743.6</v>
      </c>
      <c r="Q5" s="78">
        <v>2100739</v>
      </c>
      <c r="R5" s="77">
        <v>770.4</v>
      </c>
      <c r="S5" s="78">
        <v>6955520</v>
      </c>
      <c r="T5" s="77">
        <v>2550.6999999999998</v>
      </c>
      <c r="U5" s="78">
        <v>1152075</v>
      </c>
      <c r="V5" s="76">
        <v>422.5</v>
      </c>
      <c r="W5" s="50" t="s">
        <v>36</v>
      </c>
    </row>
    <row r="6" spans="1:24" x14ac:dyDescent="0.2">
      <c r="A6" s="80">
        <v>2000</v>
      </c>
      <c r="B6" s="78">
        <v>281421906</v>
      </c>
      <c r="C6" s="78">
        <v>1425486</v>
      </c>
      <c r="D6" s="76">
        <v>506.5</v>
      </c>
      <c r="E6" s="78">
        <v>15586</v>
      </c>
      <c r="F6" s="76">
        <v>5.5</v>
      </c>
      <c r="G6" s="78"/>
      <c r="H6" s="76"/>
      <c r="I6" s="83">
        <v>90178</v>
      </c>
      <c r="J6" s="79">
        <v>32</v>
      </c>
      <c r="K6" s="78">
        <v>408016</v>
      </c>
      <c r="L6" s="76">
        <v>145</v>
      </c>
      <c r="M6" s="78">
        <v>911706</v>
      </c>
      <c r="N6" s="76">
        <v>324</v>
      </c>
      <c r="O6" s="78">
        <v>10182584</v>
      </c>
      <c r="P6" s="77">
        <v>3618.3</v>
      </c>
      <c r="Q6" s="78">
        <v>2050992</v>
      </c>
      <c r="R6" s="77">
        <v>728.8</v>
      </c>
      <c r="S6" s="78">
        <v>6971590</v>
      </c>
      <c r="T6" s="77">
        <v>2477.3000000000002</v>
      </c>
      <c r="U6" s="78">
        <v>1160002</v>
      </c>
      <c r="V6" s="76">
        <v>412.2</v>
      </c>
    </row>
    <row r="7" spans="1:24" ht="13.5" x14ac:dyDescent="0.2">
      <c r="A7" s="80" t="s">
        <v>114</v>
      </c>
      <c r="B7" s="78">
        <v>285317559</v>
      </c>
      <c r="C7" s="78">
        <v>1439480</v>
      </c>
      <c r="D7" s="76">
        <v>504.5</v>
      </c>
      <c r="E7" s="78">
        <v>16037</v>
      </c>
      <c r="F7" s="76">
        <v>5.6</v>
      </c>
      <c r="G7" s="78"/>
      <c r="H7" s="76"/>
      <c r="I7" s="83">
        <v>90863</v>
      </c>
      <c r="J7" s="79">
        <v>31.8</v>
      </c>
      <c r="K7" s="78">
        <v>423557</v>
      </c>
      <c r="L7" s="76">
        <v>148.5</v>
      </c>
      <c r="M7" s="78">
        <v>909023</v>
      </c>
      <c r="N7" s="76">
        <v>318.60000000000002</v>
      </c>
      <c r="O7" s="78">
        <v>10437189</v>
      </c>
      <c r="P7" s="77">
        <v>3658.1</v>
      </c>
      <c r="Q7" s="78">
        <v>2116531</v>
      </c>
      <c r="R7" s="77">
        <v>741.8</v>
      </c>
      <c r="S7" s="78">
        <v>7092267</v>
      </c>
      <c r="T7" s="77">
        <v>2485.6999999999998</v>
      </c>
      <c r="U7" s="78">
        <v>1228391</v>
      </c>
      <c r="V7" s="76">
        <v>430.5</v>
      </c>
    </row>
    <row r="8" spans="1:24" x14ac:dyDescent="0.2">
      <c r="A8" s="80">
        <v>2002</v>
      </c>
      <c r="B8" s="78">
        <v>287973924</v>
      </c>
      <c r="C8" s="78">
        <v>1423677</v>
      </c>
      <c r="D8" s="76">
        <v>494.4</v>
      </c>
      <c r="E8" s="78">
        <v>16229</v>
      </c>
      <c r="F8" s="76">
        <v>5.6</v>
      </c>
      <c r="G8" s="78"/>
      <c r="H8" s="76"/>
      <c r="I8" s="83">
        <v>95235</v>
      </c>
      <c r="J8" s="79">
        <v>33.1</v>
      </c>
      <c r="K8" s="78">
        <v>420806</v>
      </c>
      <c r="L8" s="76">
        <v>146.1</v>
      </c>
      <c r="M8" s="78">
        <v>891407</v>
      </c>
      <c r="N8" s="76">
        <v>309.5</v>
      </c>
      <c r="O8" s="78">
        <v>10455277</v>
      </c>
      <c r="P8" s="77">
        <v>3630.6</v>
      </c>
      <c r="Q8" s="78">
        <v>2151252</v>
      </c>
      <c r="R8" s="77">
        <v>747</v>
      </c>
      <c r="S8" s="78">
        <v>7057379</v>
      </c>
      <c r="T8" s="77">
        <v>2450.6999999999998</v>
      </c>
      <c r="U8" s="78">
        <v>1246646</v>
      </c>
      <c r="V8" s="76">
        <v>432.9</v>
      </c>
    </row>
    <row r="9" spans="1:24" x14ac:dyDescent="0.2">
      <c r="A9" s="80" t="s">
        <v>113</v>
      </c>
      <c r="B9" s="78">
        <v>290788976</v>
      </c>
      <c r="C9" s="78">
        <v>1383676</v>
      </c>
      <c r="D9" s="76">
        <v>475.8</v>
      </c>
      <c r="E9" s="78">
        <v>16528</v>
      </c>
      <c r="F9" s="76">
        <v>5.7</v>
      </c>
      <c r="G9" s="78"/>
      <c r="H9" s="76"/>
      <c r="I9" s="83">
        <v>93883</v>
      </c>
      <c r="J9" s="79">
        <v>32.299999999999997</v>
      </c>
      <c r="K9" s="78">
        <v>414235</v>
      </c>
      <c r="L9" s="76">
        <v>142.5</v>
      </c>
      <c r="M9" s="78">
        <v>859030</v>
      </c>
      <c r="N9" s="76">
        <v>295.39999999999998</v>
      </c>
      <c r="O9" s="78">
        <v>10442862</v>
      </c>
      <c r="P9" s="77">
        <v>3591.2</v>
      </c>
      <c r="Q9" s="78">
        <v>2154834</v>
      </c>
      <c r="R9" s="77">
        <v>741</v>
      </c>
      <c r="S9" s="78">
        <v>7026802</v>
      </c>
      <c r="T9" s="77">
        <v>2416.5</v>
      </c>
      <c r="U9" s="78">
        <v>1261226</v>
      </c>
      <c r="V9" s="76">
        <v>433.7</v>
      </c>
    </row>
    <row r="10" spans="1:24" x14ac:dyDescent="0.2">
      <c r="A10" s="80" t="s">
        <v>112</v>
      </c>
      <c r="B10" s="78">
        <v>293656842</v>
      </c>
      <c r="C10" s="78">
        <v>1360088</v>
      </c>
      <c r="D10" s="76">
        <v>463.2</v>
      </c>
      <c r="E10" s="78">
        <v>16148</v>
      </c>
      <c r="F10" s="76">
        <v>5.5</v>
      </c>
      <c r="G10" s="78"/>
      <c r="H10" s="76"/>
      <c r="I10" s="83">
        <v>95089</v>
      </c>
      <c r="J10" s="79">
        <v>32.4</v>
      </c>
      <c r="K10" s="78">
        <v>401470</v>
      </c>
      <c r="L10" s="76">
        <v>136.69999999999999</v>
      </c>
      <c r="M10" s="78">
        <v>847381</v>
      </c>
      <c r="N10" s="76">
        <v>288.60000000000002</v>
      </c>
      <c r="O10" s="78">
        <v>10319386</v>
      </c>
      <c r="P10" s="77">
        <v>3514.1</v>
      </c>
      <c r="Q10" s="78">
        <v>2144446</v>
      </c>
      <c r="R10" s="77">
        <v>730.3</v>
      </c>
      <c r="S10" s="78">
        <v>6937089</v>
      </c>
      <c r="T10" s="77">
        <v>2362.3000000000002</v>
      </c>
      <c r="U10" s="78">
        <v>1237851</v>
      </c>
      <c r="V10" s="76">
        <v>421.5</v>
      </c>
      <c r="W10" s="50" t="s">
        <v>36</v>
      </c>
    </row>
    <row r="11" spans="1:24" x14ac:dyDescent="0.2">
      <c r="A11" s="80" t="s">
        <v>111</v>
      </c>
      <c r="B11" s="78">
        <v>296507061</v>
      </c>
      <c r="C11" s="78">
        <v>1390745</v>
      </c>
      <c r="D11" s="76">
        <v>469</v>
      </c>
      <c r="E11" s="78">
        <v>16740</v>
      </c>
      <c r="F11" s="76">
        <v>5.6</v>
      </c>
      <c r="G11" s="78"/>
      <c r="H11" s="76"/>
      <c r="I11" s="83">
        <v>94347</v>
      </c>
      <c r="J11" s="79">
        <v>31.8</v>
      </c>
      <c r="K11" s="78">
        <v>417438</v>
      </c>
      <c r="L11" s="76">
        <v>140.80000000000001</v>
      </c>
      <c r="M11" s="78">
        <v>862220</v>
      </c>
      <c r="N11" s="76">
        <v>290.8</v>
      </c>
      <c r="O11" s="78">
        <v>10174754</v>
      </c>
      <c r="P11" s="77">
        <v>3431.5</v>
      </c>
      <c r="Q11" s="78">
        <v>2155448</v>
      </c>
      <c r="R11" s="77">
        <v>726.9</v>
      </c>
      <c r="S11" s="78">
        <v>6783447</v>
      </c>
      <c r="T11" s="77">
        <v>2287.8000000000002</v>
      </c>
      <c r="U11" s="78">
        <v>1235859</v>
      </c>
      <c r="V11" s="76">
        <v>416.8</v>
      </c>
      <c r="X11" s="50" t="s">
        <v>36</v>
      </c>
    </row>
    <row r="12" spans="1:24" x14ac:dyDescent="0.2">
      <c r="A12" s="80" t="s">
        <v>110</v>
      </c>
      <c r="B12" s="78">
        <v>299398484</v>
      </c>
      <c r="C12" s="78">
        <v>1435123</v>
      </c>
      <c r="D12" s="76">
        <v>479.3</v>
      </c>
      <c r="E12" s="78">
        <v>17309</v>
      </c>
      <c r="F12" s="76">
        <v>5.8</v>
      </c>
      <c r="G12" s="78" t="s">
        <v>36</v>
      </c>
      <c r="H12" s="76"/>
      <c r="I12" s="83">
        <v>94472</v>
      </c>
      <c r="J12" s="79">
        <v>31.6</v>
      </c>
      <c r="K12" s="78">
        <v>449246</v>
      </c>
      <c r="L12" s="76">
        <v>150</v>
      </c>
      <c r="M12" s="78">
        <v>874096</v>
      </c>
      <c r="N12" s="76">
        <v>292</v>
      </c>
      <c r="O12" s="78">
        <v>10019601</v>
      </c>
      <c r="P12" s="77">
        <v>3346.6</v>
      </c>
      <c r="Q12" s="78">
        <v>2194993</v>
      </c>
      <c r="R12" s="77">
        <v>733.1</v>
      </c>
      <c r="S12" s="78">
        <v>6626363</v>
      </c>
      <c r="T12" s="77">
        <v>2213.1999999999998</v>
      </c>
      <c r="U12" s="78">
        <v>1198245</v>
      </c>
      <c r="V12" s="76">
        <v>400.2</v>
      </c>
    </row>
    <row r="13" spans="1:24" ht="13.5" customHeight="1" x14ac:dyDescent="0.2">
      <c r="A13" s="80" t="s">
        <v>109</v>
      </c>
      <c r="B13" s="52">
        <v>301621157</v>
      </c>
      <c r="C13" s="78">
        <v>1422970</v>
      </c>
      <c r="D13" s="76">
        <v>471.8</v>
      </c>
      <c r="E13" s="52">
        <v>17128</v>
      </c>
      <c r="F13" s="76">
        <v>5.7</v>
      </c>
      <c r="H13" s="76"/>
      <c r="I13" s="54">
        <v>92160</v>
      </c>
      <c r="J13" s="79">
        <v>30.6</v>
      </c>
      <c r="K13" s="52">
        <v>447324</v>
      </c>
      <c r="L13" s="76">
        <v>148.30000000000001</v>
      </c>
      <c r="M13" s="52">
        <v>866358</v>
      </c>
      <c r="N13" s="76">
        <v>287.2</v>
      </c>
      <c r="O13" s="78">
        <v>9882212</v>
      </c>
      <c r="P13" s="77">
        <v>3276.4</v>
      </c>
      <c r="Q13" s="52">
        <v>2190198</v>
      </c>
      <c r="R13" s="77">
        <v>726.1</v>
      </c>
      <c r="S13" s="52">
        <v>6591542</v>
      </c>
      <c r="T13" s="77">
        <v>2185.4</v>
      </c>
      <c r="U13" s="52">
        <v>1100472</v>
      </c>
      <c r="V13" s="76">
        <v>364.9</v>
      </c>
    </row>
    <row r="14" spans="1:24" x14ac:dyDescent="0.2">
      <c r="A14" s="80" t="s">
        <v>108</v>
      </c>
      <c r="B14" s="52">
        <v>304059724</v>
      </c>
      <c r="C14" s="78">
        <v>1394461</v>
      </c>
      <c r="D14" s="76">
        <v>458.6</v>
      </c>
      <c r="E14" s="52">
        <v>16465</v>
      </c>
      <c r="F14" s="76">
        <v>5.4</v>
      </c>
      <c r="H14" s="76"/>
      <c r="I14" s="54">
        <v>90750</v>
      </c>
      <c r="J14" s="79">
        <v>29.8</v>
      </c>
      <c r="K14" s="52">
        <v>443563</v>
      </c>
      <c r="L14" s="76">
        <v>145.9</v>
      </c>
      <c r="M14" s="52">
        <v>843683</v>
      </c>
      <c r="N14" s="76">
        <v>277.5</v>
      </c>
      <c r="O14" s="78">
        <v>9774152</v>
      </c>
      <c r="P14" s="77">
        <v>3214.6</v>
      </c>
      <c r="Q14" s="52">
        <v>2228887</v>
      </c>
      <c r="R14" s="77">
        <v>733</v>
      </c>
      <c r="S14" s="52">
        <v>6586206</v>
      </c>
      <c r="T14" s="77">
        <v>2166.1</v>
      </c>
      <c r="U14" s="52">
        <v>959059</v>
      </c>
      <c r="V14" s="76">
        <v>315.39999999999998</v>
      </c>
    </row>
    <row r="15" spans="1:24" x14ac:dyDescent="0.2">
      <c r="A15" s="80" t="s">
        <v>107</v>
      </c>
      <c r="B15" s="52">
        <v>307006550</v>
      </c>
      <c r="C15" s="78">
        <v>1325896</v>
      </c>
      <c r="D15" s="76">
        <v>431.9</v>
      </c>
      <c r="E15" s="52">
        <v>15399</v>
      </c>
      <c r="F15" s="76">
        <v>5</v>
      </c>
      <c r="H15" s="76"/>
      <c r="I15" s="54">
        <v>89241</v>
      </c>
      <c r="J15" s="79">
        <v>29.1</v>
      </c>
      <c r="K15" s="52">
        <v>408742</v>
      </c>
      <c r="L15" s="76">
        <v>133.1</v>
      </c>
      <c r="M15" s="52">
        <v>812514</v>
      </c>
      <c r="N15" s="76">
        <v>264.7</v>
      </c>
      <c r="O15" s="78">
        <v>9337060</v>
      </c>
      <c r="P15" s="77">
        <v>3041.3</v>
      </c>
      <c r="Q15" s="52">
        <v>2203313</v>
      </c>
      <c r="R15" s="77">
        <v>717.7</v>
      </c>
      <c r="S15" s="52">
        <v>6338095</v>
      </c>
      <c r="T15" s="77">
        <v>2064.5</v>
      </c>
      <c r="U15" s="52">
        <v>795652</v>
      </c>
      <c r="V15" s="76">
        <v>259.2</v>
      </c>
    </row>
    <row r="16" spans="1:24" x14ac:dyDescent="0.2">
      <c r="A16" s="80" t="s">
        <v>106</v>
      </c>
      <c r="B16" s="52">
        <v>309330219</v>
      </c>
      <c r="C16" s="78">
        <v>1251248</v>
      </c>
      <c r="D16" s="76">
        <v>404.5</v>
      </c>
      <c r="E16" s="52">
        <v>14722</v>
      </c>
      <c r="F16" s="76">
        <v>4.8</v>
      </c>
      <c r="H16" s="76"/>
      <c r="I16" s="54">
        <v>85593</v>
      </c>
      <c r="J16" s="79">
        <v>27.7</v>
      </c>
      <c r="K16" s="52">
        <v>369089</v>
      </c>
      <c r="L16" s="76">
        <v>119.3</v>
      </c>
      <c r="M16" s="52">
        <v>781844</v>
      </c>
      <c r="N16" s="76">
        <v>252.8</v>
      </c>
      <c r="O16" s="78">
        <v>9112625</v>
      </c>
      <c r="P16" s="77">
        <v>2945.9</v>
      </c>
      <c r="Q16" s="52">
        <v>2168459</v>
      </c>
      <c r="R16" s="77">
        <v>701</v>
      </c>
      <c r="S16" s="52">
        <v>6204601</v>
      </c>
      <c r="T16" s="77">
        <v>2005.8</v>
      </c>
      <c r="U16" s="52">
        <v>739565</v>
      </c>
      <c r="V16" s="76">
        <v>239.1</v>
      </c>
    </row>
    <row r="17" spans="1:22" x14ac:dyDescent="0.2">
      <c r="A17" s="80" t="s">
        <v>105</v>
      </c>
      <c r="B17" s="52">
        <v>311587816</v>
      </c>
      <c r="C17" s="78">
        <v>1206005</v>
      </c>
      <c r="D17" s="76">
        <v>387.1</v>
      </c>
      <c r="E17" s="52">
        <v>14661</v>
      </c>
      <c r="F17" s="76">
        <v>4.7</v>
      </c>
      <c r="H17" s="76"/>
      <c r="I17" s="54">
        <v>84175</v>
      </c>
      <c r="J17" s="79">
        <v>27</v>
      </c>
      <c r="K17" s="52">
        <v>354746</v>
      </c>
      <c r="L17" s="76">
        <v>113.9</v>
      </c>
      <c r="M17" s="52">
        <v>752423</v>
      </c>
      <c r="N17" s="76">
        <v>241.5</v>
      </c>
      <c r="O17" s="78">
        <v>9052743</v>
      </c>
      <c r="P17" s="77">
        <v>2905.4</v>
      </c>
      <c r="Q17" s="52">
        <v>2185140</v>
      </c>
      <c r="R17" s="77">
        <v>701.3</v>
      </c>
      <c r="S17" s="52">
        <v>6151095</v>
      </c>
      <c r="T17" s="77">
        <v>1974.1</v>
      </c>
      <c r="U17" s="52">
        <v>716508</v>
      </c>
      <c r="V17" s="76">
        <v>230</v>
      </c>
    </row>
    <row r="18" spans="1:22" x14ac:dyDescent="0.2">
      <c r="A18" s="80" t="s">
        <v>104</v>
      </c>
      <c r="B18" s="52">
        <v>313873685</v>
      </c>
      <c r="C18" s="78">
        <v>1217057</v>
      </c>
      <c r="D18" s="76">
        <v>387.8</v>
      </c>
      <c r="E18" s="52">
        <v>14856</v>
      </c>
      <c r="F18" s="76">
        <v>4.7</v>
      </c>
      <c r="H18" s="76"/>
      <c r="I18" s="54">
        <v>85141</v>
      </c>
      <c r="J18" s="79">
        <v>27.1</v>
      </c>
      <c r="K18" s="52">
        <v>355051</v>
      </c>
      <c r="L18" s="76">
        <v>113.1</v>
      </c>
      <c r="M18" s="52">
        <v>762009</v>
      </c>
      <c r="N18" s="76">
        <v>242.8</v>
      </c>
      <c r="O18" s="78">
        <v>9001992</v>
      </c>
      <c r="P18" s="77">
        <v>2868</v>
      </c>
      <c r="Q18" s="52">
        <v>2109932</v>
      </c>
      <c r="R18" s="77">
        <v>672.2</v>
      </c>
      <c r="S18" s="52">
        <v>6168874</v>
      </c>
      <c r="T18" s="77">
        <v>1965.4</v>
      </c>
      <c r="U18" s="52">
        <v>723186</v>
      </c>
      <c r="V18" s="76">
        <v>230.4</v>
      </c>
    </row>
    <row r="19" spans="1:22" x14ac:dyDescent="0.2">
      <c r="A19" s="80" t="s">
        <v>103</v>
      </c>
      <c r="B19" s="52">
        <v>316497531</v>
      </c>
      <c r="C19" s="78">
        <v>1168298</v>
      </c>
      <c r="D19" s="76">
        <v>369.1</v>
      </c>
      <c r="E19" s="52">
        <v>14319</v>
      </c>
      <c r="F19" s="76">
        <v>4.5</v>
      </c>
      <c r="G19" s="52">
        <v>113695</v>
      </c>
      <c r="H19" s="76">
        <v>35.9</v>
      </c>
      <c r="I19" s="54">
        <v>82109</v>
      </c>
      <c r="J19" s="79">
        <v>25.9</v>
      </c>
      <c r="K19" s="52">
        <v>345093</v>
      </c>
      <c r="L19" s="76">
        <v>109</v>
      </c>
      <c r="M19" s="52">
        <v>726777</v>
      </c>
      <c r="N19" s="76">
        <v>229.6</v>
      </c>
      <c r="O19" s="78">
        <v>8651892</v>
      </c>
      <c r="P19" s="77">
        <v>2733.6</v>
      </c>
      <c r="Q19" s="52">
        <v>1932139</v>
      </c>
      <c r="R19" s="77">
        <v>610.5</v>
      </c>
      <c r="S19" s="52">
        <v>6019465</v>
      </c>
      <c r="T19" s="77">
        <v>1901.9</v>
      </c>
      <c r="U19" s="52">
        <v>700288</v>
      </c>
      <c r="V19" s="76">
        <v>221.3</v>
      </c>
    </row>
    <row r="20" spans="1:22" s="81" customFormat="1" x14ac:dyDescent="0.2">
      <c r="A20" s="84" t="s">
        <v>102</v>
      </c>
      <c r="B20" s="54">
        <v>318907401</v>
      </c>
      <c r="C20" s="83">
        <v>1153022</v>
      </c>
      <c r="D20" s="79">
        <v>361.6</v>
      </c>
      <c r="E20" s="54">
        <v>14164</v>
      </c>
      <c r="F20" s="79">
        <v>4.4000000000000004</v>
      </c>
      <c r="G20" s="54">
        <v>118027</v>
      </c>
      <c r="H20" s="79">
        <v>37</v>
      </c>
      <c r="I20" s="54">
        <v>84864</v>
      </c>
      <c r="J20" s="79">
        <v>26.6</v>
      </c>
      <c r="K20" s="54">
        <v>322905</v>
      </c>
      <c r="L20" s="79">
        <v>101.3</v>
      </c>
      <c r="M20" s="54">
        <v>731089</v>
      </c>
      <c r="N20" s="79">
        <v>229.2</v>
      </c>
      <c r="O20" s="83">
        <v>8209010</v>
      </c>
      <c r="P20" s="82">
        <v>2574.1</v>
      </c>
      <c r="Q20" s="54">
        <v>1713153</v>
      </c>
      <c r="R20" s="82">
        <v>537.20000000000005</v>
      </c>
      <c r="S20" s="54">
        <v>5809054</v>
      </c>
      <c r="T20" s="82">
        <v>1821.5</v>
      </c>
      <c r="U20" s="54">
        <v>686803</v>
      </c>
      <c r="V20" s="79">
        <v>215.4</v>
      </c>
    </row>
    <row r="21" spans="1:22" x14ac:dyDescent="0.2">
      <c r="A21" s="80" t="s">
        <v>101</v>
      </c>
      <c r="B21" s="52">
        <v>320896618</v>
      </c>
      <c r="C21" s="78">
        <v>1199310</v>
      </c>
      <c r="D21" s="76">
        <v>373.7</v>
      </c>
      <c r="E21" s="52">
        <v>15883</v>
      </c>
      <c r="F21" s="76">
        <v>4.9000000000000004</v>
      </c>
      <c r="G21" s="52">
        <v>126134</v>
      </c>
      <c r="H21" s="76">
        <v>39.299999999999997</v>
      </c>
      <c r="I21" s="54">
        <v>91261</v>
      </c>
      <c r="J21" s="79">
        <v>28.4</v>
      </c>
      <c r="K21" s="52">
        <v>328109</v>
      </c>
      <c r="L21" s="76">
        <v>102.2</v>
      </c>
      <c r="M21" s="52">
        <v>764057</v>
      </c>
      <c r="N21" s="76">
        <v>238.1</v>
      </c>
      <c r="O21" s="78">
        <v>8024115</v>
      </c>
      <c r="P21" s="77">
        <v>2500.5</v>
      </c>
      <c r="Q21" s="52">
        <v>1587564</v>
      </c>
      <c r="R21" s="77">
        <v>494.7</v>
      </c>
      <c r="S21" s="52">
        <v>5723488</v>
      </c>
      <c r="T21" s="77">
        <v>1783.6</v>
      </c>
      <c r="U21" s="52">
        <v>713063</v>
      </c>
      <c r="V21" s="76">
        <v>222.2</v>
      </c>
    </row>
    <row r="22" spans="1:22" x14ac:dyDescent="0.2">
      <c r="A22" s="80" t="s">
        <v>100</v>
      </c>
      <c r="B22" s="52">
        <v>323405935</v>
      </c>
      <c r="C22" s="78">
        <v>1250162</v>
      </c>
      <c r="D22" s="76">
        <v>386.6</v>
      </c>
      <c r="E22" s="52">
        <v>17413</v>
      </c>
      <c r="F22" s="76">
        <v>5.4</v>
      </c>
      <c r="G22" s="52">
        <v>132414</v>
      </c>
      <c r="H22" s="76">
        <v>40.9</v>
      </c>
      <c r="I22" s="54">
        <v>96970</v>
      </c>
      <c r="J22" s="79">
        <v>30</v>
      </c>
      <c r="K22" s="52">
        <v>332797</v>
      </c>
      <c r="L22" s="76">
        <v>102.9</v>
      </c>
      <c r="M22" s="52">
        <v>802982</v>
      </c>
      <c r="N22" s="76">
        <v>248.3</v>
      </c>
      <c r="O22" s="78">
        <v>7928530</v>
      </c>
      <c r="P22" s="77">
        <v>2451.6</v>
      </c>
      <c r="Q22" s="52">
        <v>1516405</v>
      </c>
      <c r="R22" s="77">
        <v>468.9</v>
      </c>
      <c r="S22" s="52">
        <v>5644835</v>
      </c>
      <c r="T22" s="77">
        <v>1745.4</v>
      </c>
      <c r="U22" s="52">
        <v>767290</v>
      </c>
      <c r="V22" s="76">
        <v>237.3</v>
      </c>
    </row>
    <row r="23" spans="1:22" ht="13.5" x14ac:dyDescent="0.2">
      <c r="A23" s="80" t="s">
        <v>99</v>
      </c>
      <c r="B23" s="52">
        <v>325147121</v>
      </c>
      <c r="C23" s="78">
        <v>1247917</v>
      </c>
      <c r="D23" s="76">
        <v>383.8</v>
      </c>
      <c r="E23" s="52">
        <v>17294</v>
      </c>
      <c r="F23" s="76">
        <v>5.3</v>
      </c>
      <c r="G23" s="52">
        <v>135666</v>
      </c>
      <c r="H23" s="76">
        <v>41.7</v>
      </c>
      <c r="I23" s="54">
        <v>99708</v>
      </c>
      <c r="J23" s="79">
        <v>30.7</v>
      </c>
      <c r="K23" s="52">
        <v>320596</v>
      </c>
      <c r="L23" s="76">
        <v>98.6</v>
      </c>
      <c r="M23" s="52">
        <v>810319</v>
      </c>
      <c r="N23" s="76">
        <v>249.2</v>
      </c>
      <c r="O23" s="78">
        <v>7682988</v>
      </c>
      <c r="P23" s="77">
        <v>2362.9</v>
      </c>
      <c r="Q23" s="52">
        <v>1397045</v>
      </c>
      <c r="R23" s="77">
        <v>429.7</v>
      </c>
      <c r="S23" s="52">
        <v>5513000</v>
      </c>
      <c r="T23" s="77">
        <v>1695.5</v>
      </c>
      <c r="U23" s="52">
        <v>772943</v>
      </c>
      <c r="V23" s="76">
        <v>237.7</v>
      </c>
    </row>
    <row r="24" spans="1:22" x14ac:dyDescent="0.2">
      <c r="A24" s="80" t="s">
        <v>98</v>
      </c>
      <c r="B24" s="52">
        <v>327167434</v>
      </c>
      <c r="C24" s="78">
        <v>1206836</v>
      </c>
      <c r="D24" s="76">
        <v>368.9</v>
      </c>
      <c r="E24" s="52">
        <v>16214</v>
      </c>
      <c r="F24" s="76">
        <v>5</v>
      </c>
      <c r="G24" s="52">
        <v>139380</v>
      </c>
      <c r="H24" s="76">
        <v>42.6</v>
      </c>
      <c r="I24" s="54">
        <v>101151</v>
      </c>
      <c r="J24" s="79">
        <v>30.9</v>
      </c>
      <c r="K24" s="52">
        <v>282061</v>
      </c>
      <c r="L24" s="76">
        <v>86.2</v>
      </c>
      <c r="M24" s="52">
        <v>807410</v>
      </c>
      <c r="N24" s="76">
        <v>246.8</v>
      </c>
      <c r="O24" s="78">
        <v>7196045</v>
      </c>
      <c r="P24" s="77">
        <v>2199.5</v>
      </c>
      <c r="Q24" s="52">
        <v>1230149</v>
      </c>
      <c r="R24" s="77">
        <v>376</v>
      </c>
      <c r="S24" s="52">
        <v>5217055</v>
      </c>
      <c r="T24" s="77">
        <v>1594.6</v>
      </c>
      <c r="U24" s="52">
        <v>748841</v>
      </c>
      <c r="V24" s="76">
        <v>228.9</v>
      </c>
    </row>
    <row r="25" spans="1:22" s="58" customFormat="1" ht="13.5" customHeight="1" x14ac:dyDescent="0.2">
      <c r="A25" s="75" t="s">
        <v>97</v>
      </c>
      <c r="B25" s="73"/>
      <c r="C25" s="73"/>
      <c r="D25" s="73"/>
      <c r="E25" s="73"/>
      <c r="F25" s="73"/>
      <c r="G25" s="73"/>
      <c r="H25" s="73"/>
      <c r="I25" s="74"/>
      <c r="J25" s="74"/>
      <c r="K25" s="73"/>
      <c r="L25" s="73"/>
      <c r="M25" s="73"/>
      <c r="N25" s="72"/>
      <c r="O25" s="72"/>
      <c r="P25" s="72"/>
      <c r="Q25" s="72"/>
      <c r="R25" s="72"/>
      <c r="S25" s="72"/>
      <c r="T25" s="72"/>
      <c r="U25" s="72"/>
      <c r="V25" s="72"/>
    </row>
    <row r="26" spans="1:22" s="58" customFormat="1" ht="13.5" customHeight="1" x14ac:dyDescent="0.2">
      <c r="A26" s="71" t="s">
        <v>96</v>
      </c>
      <c r="B26" s="8"/>
      <c r="C26" s="8"/>
      <c r="D26" s="8"/>
      <c r="E26" s="8"/>
      <c r="F26" s="8"/>
      <c r="G26" s="8"/>
      <c r="H26" s="8"/>
      <c r="I26" s="65"/>
      <c r="J26" s="65"/>
      <c r="K26" s="8"/>
      <c r="L26" s="8"/>
      <c r="M26" s="8"/>
      <c r="N26" s="8"/>
      <c r="O26" s="8"/>
      <c r="P26" s="8"/>
      <c r="Q26" s="66"/>
      <c r="R26" s="66"/>
      <c r="S26" s="66"/>
      <c r="T26" s="66"/>
      <c r="U26" s="66"/>
      <c r="V26" s="66"/>
    </row>
    <row r="27" spans="1:22" s="58" customFormat="1" ht="13.5" customHeight="1" x14ac:dyDescent="0.2">
      <c r="A27" s="69" t="s">
        <v>95</v>
      </c>
      <c r="B27" s="67"/>
      <c r="C27" s="67"/>
      <c r="D27" s="67"/>
      <c r="E27" s="67"/>
      <c r="F27" s="67"/>
      <c r="G27" s="67"/>
      <c r="H27" s="67"/>
      <c r="I27" s="68"/>
      <c r="J27" s="68"/>
      <c r="K27" s="67"/>
      <c r="L27" s="67"/>
      <c r="M27" s="67"/>
      <c r="N27" s="70" t="s">
        <v>36</v>
      </c>
      <c r="O27" s="66" t="s">
        <v>36</v>
      </c>
      <c r="P27" s="66"/>
      <c r="Q27" s="66"/>
      <c r="R27" s="66"/>
      <c r="S27" s="66"/>
      <c r="T27" s="66"/>
      <c r="U27" s="66"/>
      <c r="V27" s="66"/>
    </row>
    <row r="28" spans="1:22" s="58" customFormat="1" ht="13.5" customHeight="1" x14ac:dyDescent="0.2">
      <c r="A28" s="69" t="s">
        <v>94</v>
      </c>
      <c r="B28" s="67"/>
      <c r="C28" s="67"/>
      <c r="D28" s="67"/>
      <c r="E28" s="67"/>
      <c r="F28" s="67"/>
      <c r="G28" s="67"/>
      <c r="H28" s="67"/>
      <c r="I28" s="68"/>
      <c r="J28" s="68"/>
      <c r="K28" s="67"/>
      <c r="L28" s="67"/>
      <c r="M28" s="67"/>
      <c r="N28" s="8"/>
      <c r="O28" s="66"/>
      <c r="P28" s="66" t="s">
        <v>36</v>
      </c>
      <c r="Q28" s="66"/>
      <c r="R28" s="66"/>
      <c r="S28" s="66"/>
      <c r="T28" s="66"/>
      <c r="U28" s="66"/>
      <c r="V28" s="66"/>
    </row>
    <row r="29" spans="1:22" s="57" customFormat="1" ht="13.5" x14ac:dyDescent="0.2">
      <c r="A29" s="64" t="s">
        <v>93</v>
      </c>
      <c r="B29" s="8"/>
      <c r="C29" s="8"/>
      <c r="D29" s="8"/>
      <c r="E29" s="8"/>
      <c r="F29" s="8"/>
      <c r="G29" s="8"/>
      <c r="H29" s="8"/>
      <c r="I29" s="65"/>
      <c r="J29" s="65"/>
      <c r="K29" s="8"/>
      <c r="L29" s="8"/>
      <c r="M29" s="61"/>
      <c r="N29" s="60"/>
      <c r="O29" s="61"/>
      <c r="P29" s="60"/>
      <c r="Q29" s="61" t="s">
        <v>36</v>
      </c>
      <c r="R29" s="60"/>
      <c r="S29" s="61"/>
      <c r="T29" s="60"/>
      <c r="U29" s="61"/>
      <c r="V29" s="60"/>
    </row>
    <row r="30" spans="1:22" s="57" customFormat="1" ht="13.5" customHeight="1" x14ac:dyDescent="0.2">
      <c r="A30" s="64" t="s">
        <v>92</v>
      </c>
      <c r="B30" s="62"/>
      <c r="C30" s="62"/>
      <c r="D30" s="62"/>
      <c r="E30" s="62"/>
      <c r="F30" s="62"/>
      <c r="G30" s="62"/>
      <c r="H30" s="62"/>
      <c r="I30" s="63"/>
      <c r="J30" s="63"/>
      <c r="K30" s="62"/>
      <c r="L30" s="62"/>
      <c r="M30" s="62"/>
      <c r="N30" s="62"/>
      <c r="O30" s="62"/>
      <c r="P30" s="60" t="s">
        <v>36</v>
      </c>
      <c r="Q30" s="61"/>
      <c r="R30" s="60"/>
      <c r="S30" s="61"/>
      <c r="T30" s="60"/>
      <c r="U30" s="61"/>
      <c r="V30" s="60"/>
    </row>
    <row r="31" spans="1:22" s="57" customFormat="1" ht="12.75" customHeight="1" x14ac:dyDescent="0.2">
      <c r="A31" s="57" t="s">
        <v>91</v>
      </c>
      <c r="B31" s="58"/>
      <c r="C31" s="58"/>
      <c r="D31" s="58"/>
      <c r="E31" s="58"/>
      <c r="F31" s="58"/>
      <c r="G31" s="58"/>
      <c r="H31" s="58"/>
      <c r="I31" s="59"/>
      <c r="J31" s="59"/>
      <c r="K31" s="58"/>
      <c r="L31" s="58"/>
      <c r="M31" s="58"/>
      <c r="N31" s="58"/>
      <c r="O31" s="58"/>
      <c r="P31" s="58"/>
      <c r="Q31" s="58"/>
      <c r="R31" s="8"/>
      <c r="S31" s="8"/>
      <c r="T31" s="8"/>
      <c r="U31" s="8"/>
      <c r="V31" s="8"/>
    </row>
    <row r="32" spans="1:22" x14ac:dyDescent="0.2">
      <c r="B32" s="56"/>
      <c r="C32" s="55"/>
    </row>
    <row r="33" spans="2:3" x14ac:dyDescent="0.2">
      <c r="B33" s="56"/>
      <c r="C33" s="55"/>
    </row>
    <row r="34" spans="2:3" x14ac:dyDescent="0.2">
      <c r="B34" s="56"/>
      <c r="C34" s="55"/>
    </row>
    <row r="35" spans="2:3" x14ac:dyDescent="0.2">
      <c r="B35" s="56"/>
      <c r="C35" s="55"/>
    </row>
    <row r="36" spans="2:3" x14ac:dyDescent="0.2">
      <c r="B36" s="56"/>
      <c r="C36" s="55"/>
    </row>
    <row r="37" spans="2:3" x14ac:dyDescent="0.2">
      <c r="B37" s="56"/>
      <c r="C37" s="55"/>
    </row>
    <row r="38" spans="2:3" x14ac:dyDescent="0.2">
      <c r="B38" s="56"/>
      <c r="C38" s="55"/>
    </row>
    <row r="39" spans="2:3" x14ac:dyDescent="0.2">
      <c r="B39" s="56"/>
      <c r="C39" s="55"/>
    </row>
    <row r="40" spans="2:3" x14ac:dyDescent="0.2">
      <c r="B40" s="56"/>
      <c r="C40" s="55"/>
    </row>
    <row r="41" spans="2:3" x14ac:dyDescent="0.2">
      <c r="B41" s="56"/>
      <c r="C41" s="55"/>
    </row>
  </sheetData>
  <printOptions horizontalCentered="1"/>
  <pageMargins left="0" right="0" top="0.52" bottom="0.33" header="0" footer="0"/>
  <pageSetup paperSize="5" scale="83" pageOrder="overThenDown"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Murders</vt:lpstr>
      <vt:lpstr>Race0</vt:lpstr>
      <vt:lpstr>Race1</vt:lpstr>
      <vt:lpstr>Race2</vt:lpstr>
      <vt:lpstr>18tbl43a</vt:lpstr>
      <vt:lpstr>18tbl43c</vt:lpstr>
      <vt:lpstr>18tbl43b</vt:lpstr>
      <vt:lpstr>18tbl01</vt:lpstr>
      <vt:lpstr>'18tbl01'!Print_Area</vt:lpstr>
      <vt:lpstr>'18tbl43a'!Print_Area</vt:lpstr>
      <vt:lpstr>'18tbl43b'!Print_Area</vt:lpstr>
      <vt:lpstr>'18tbl43c'!Print_Area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2021-04-06T00:56:14Z</dcterms:modified>
</cp:coreProperties>
</file>